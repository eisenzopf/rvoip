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5d765d9e3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0da4de91b94d11"/>
    <x:sheet xmlns:r="http://schemas.openxmlformats.org/officeDocument/2006/relationships" name="Feature Matrix" sheetId="2" r:id="R0780941dbb654a14"/>
    <x:sheet xmlns:r="http://schemas.openxmlformats.org/officeDocument/2006/relationships" name="Transport Detail" sheetId="3" r:id="R8330dcbf477a4e69"/>
    <x:sheet xmlns:r="http://schemas.openxmlformats.org/officeDocument/2006/relationships" name="Proposed Standard" sheetId="4" r:id="R857256189b8f41c1"/>
    <x:sheet xmlns:r="http://schemas.openxmlformats.org/officeDocument/2006/relationships" name="Evidence" sheetId="5" r:id="Rd8837a516c15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9">
    <x:font>
      <x:sz val="11"/>
      <x:name val="Carlito"/>
    </x:font>
    <x:font>
      <x:b/>
      <x:sz val="20"/>
      <x:color rgb="FF111827"/>
      <x:name val="Carlito"/>
    </x:font>
    <x:font>
      <x:sz val="10"/>
      <x:color rgb="FF4B5563"/>
      <x:name val="Carlito"/>
    </x:font>
    <x:font>
      <x:b/>
      <x:sz val="11"/>
      <x:color rgb="FF111827"/>
      <x:name val="Carlito"/>
    </x:font>
    <x:font>
      <x:sz val="9"/>
      <x:color rgb="FF111827"/>
      <x:name val="Carlito"/>
    </x:font>
    <x:font>
      <x:b/>
      <x:sz val="9"/>
      <x:color rgb="FF1D4ED8"/>
      <x:name val="Carlito"/>
    </x:font>
    <x:font>
      <x:b/>
      <x:sz val="9"/>
      <x:color rgb="FF111827"/>
      <x:name val="Carlito"/>
    </x:font>
    <x:font>
      <x:b/>
      <x:sz val="9"/>
      <x:color rgb="FF4B5563"/>
      <x:name val="Carlito"/>
    </x:font>
    <x:font>
      <x:sz val="9"/>
      <x:color rgb="FF1D4ED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5E7EB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  <x:fill>
      <x:patternFill patternType="solid">
        <x:fgColor rgb="FFEFF6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medium">
        <x:color rgb="FF9CA3AF"/>
      </x:top>
      <x:bottom style="thin">
        <x:color rgb="FFD1D5DB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7" fillId="0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a885dadf14980" /><Relationship Type="http://schemas.openxmlformats.org/officeDocument/2006/relationships/theme" Target="/xl/theme/theme1.xml" Id="R14dde381cbc347c8" /><Relationship Type="http://schemas.openxmlformats.org/officeDocument/2006/relationships/sharedStrings" Target="/xl/sharedStrings.xml" Id="R6b2c4dd0bc3043a0" /><Relationship Type="http://schemas.openxmlformats.org/officeDocument/2006/relationships/worksheet" Target="/xl/worksheets/sheet1.xml" Id="R540da4de91b94d11" /><Relationship Type="http://schemas.openxmlformats.org/officeDocument/2006/relationships/worksheet" Target="/xl/worksheets/sheet2.xml" Id="R0780941dbb654a14" /><Relationship Type="http://schemas.openxmlformats.org/officeDocument/2006/relationships/worksheet" Target="/xl/worksheets/sheet3.xml" Id="R8330dcbf477a4e69" /><Relationship Type="http://schemas.openxmlformats.org/officeDocument/2006/relationships/worksheet" Target="/xl/worksheets/sheet4.xml" Id="R857256189b8f41c1" /><Relationship Type="http://schemas.openxmlformats.org/officeDocument/2006/relationships/worksheet" Target="/xl/worksheets/sheet5.xml" Id="Rd8837a516c15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9.109999656677246" hidden="0" customWidth="1"/>
    <x:col min="3" max="3" width="9.109999656677246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17.219999313354492" hidden="0" customWidth="1"/>
    <x:col min="9" max="9" width="22.219999313354492" hidden="0" customWidth="1"/>
    <x:col min="10" max="10" width="22.780000686645508" hidden="0" customWidth="1"/>
  </x:cols>
  <x:sheetData>
    <x:row r="1" ht="28.5" customHeight="1">
      <x:c r="A1" s="3" t="str">
        <x:v>ASR API Surface &amp; Transport Landscape</x:v>
      </x:c>
      <x:c r="B1" s="3" t="str">
        <x:v>ASR API Surface &amp; Transport Landscape</x:v>
      </x:c>
      <x:c r="C1" s="3" t="str">
        <x:v>ASR API Surface &amp; Transport Landscape</x:v>
      </x:c>
      <x:c r="D1" s="3" t="str">
        <x:v>ASR API Surface &amp; Transport Landscape</x:v>
      </x:c>
      <x:c r="E1" s="3" t="str">
        <x:v>ASR API Surface &amp; Transport Landscape</x:v>
      </x:c>
      <x:c r="F1" s="3" t="str">
        <x:v>ASR API Surface &amp; Transport Landscape</x:v>
      </x:c>
      <x:c r="G1" s="3" t="str">
        <x:v>ASR API Surface &amp; Transport Landscape</x:v>
      </x:c>
      <x:c r="H1" s="3" t="str">
        <x:v>ASR API Surface &amp; Transport Landscape</x:v>
      </x:c>
    </x:row>
    <x:row r="2" ht="25.5" customHeight="1">
      <x:c r="A2" s="5" t="str">
        <x:v>Top 10 speech-to-text vendors • official public API documentation reviewed 2026-07-31 • scope: ASR/STT (not TTS)</x:v>
      </x:c>
      <x:c r="B2" s="5" t="str">
        <x:v>Top 10 speech-to-text vendors • official public API documentation reviewed 2026-07-31 • scope: ASR/STT (not TTS)</x:v>
      </x:c>
      <x:c r="C2" s="5" t="str">
        <x:v>Top 10 speech-to-text vendors • official public API documentation reviewed 2026-07-31 • scope: ASR/STT (not TTS)</x:v>
      </x:c>
      <x:c r="D2" s="5" t="str">
        <x:v>Top 10 speech-to-text vendors • official public API documentation reviewed 2026-07-31 • scope: ASR/STT (not TTS)</x:v>
      </x:c>
      <x:c r="E2" s="5" t="str">
        <x:v>Top 10 speech-to-text vendors • official public API documentation reviewed 2026-07-31 • scope: ASR/STT (not TTS)</x:v>
      </x:c>
      <x:c r="F2" s="5" t="str">
        <x:v>Top 10 speech-to-text vendors • official public API documentation reviewed 2026-07-31 • scope: ASR/STT (not TTS)</x:v>
      </x:c>
      <x:c r="G2" s="5" t="str">
        <x:v>Top 10 speech-to-text vendors • official public API documentation reviewed 2026-07-31 • scope: ASR/STT (not TTS)</x:v>
      </x:c>
      <x:c r="H2" s="5" t="str">
        <x:v>Top 10 speech-to-text vendors • official public API documentation reviewed 2026-07-31 • scope: ASR/STT (not TTS)</x:v>
      </x:c>
    </x:row>
    <x:row r="4">
      <x:c r="A4" s="10" t="str">
        <x:v>Executive finding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7" customHeight="1">
      <x:c r="A5" s="16" t="str">
        <x:v>1</x:v>
      </x:c>
      <x:c r="B5" s="17" t="str">
        <x:v>No reviewed vendor exposes a public QUIC/WebTransport ASR API; none exposes a raw UDP ASR API.</x:v>
      </x:c>
      <x:c r="C5" s="17" t="str"/>
      <x:c r="D5" s="17" t="str"/>
      <x:c r="E5" s="17" t="str"/>
      <x:c r="F5" s="17" t="str"/>
      <x:c r="G5" s="17" t="str"/>
      <x:c r="H5" s="17" t="str"/>
    </x:row>
    <x:row r="6" ht="27" customHeight="1">
      <x:c r="A6" s="16" t="str">
        <x:v>2</x:v>
      </x:c>
      <x:c r="B6" s="17" t="str">
        <x:v>WebSocket is the specialist-vendor default. Google uses gRPC/HTTP/2; Azure primarily exposes an SDK-managed stream; OpenAI uniquely offers WebRTC and SIP in this set.</x:v>
      </x:c>
      <x:c r="C6" s="17" t="str"/>
      <x:c r="D6" s="17" t="str"/>
      <x:c r="E6" s="17" t="str"/>
      <x:c r="F6" s="17" t="str"/>
      <x:c r="G6" s="17" t="str"/>
      <x:c r="H6" s="17" t="str"/>
    </x:row>
    <x:row r="7" ht="27" customHeight="1">
      <x:c r="A7" s="16" t="str">
        <x:v>3</x:v>
      </x:c>
      <x:c r="B7" s="17" t="str">
        <x:v>The portable semantic core is clear: session configuration, audio framing, partial/final/committed transcript states, VAD, silence endpointing, language, phrase biasing, timestamps, errors, and usage.</x:v>
      </x:c>
      <x:c r="C7" s="17" t="str"/>
      <x:c r="D7" s="17" t="str"/>
      <x:c r="E7" s="17" t="str"/>
      <x:c r="F7" s="17" t="str"/>
      <x:c r="G7" s="17" t="str"/>
      <x:c r="H7" s="17" t="str"/>
    </x:row>
    <x:row r="8" ht="27" customHeight="1">
      <x:c r="A8" s="16" t="str">
        <x:v>4</x:v>
      </x:c>
      <x:c r="B8" s="17" t="str">
        <x:v>The least standardized areas are semantic end-of-turn, speculative/eager turns, reconnect/resume, dynamic configuration, diarization, translation, and redaction.</x:v>
      </x:c>
      <x:c r="C8" s="17" t="str"/>
      <x:c r="D8" s="17" t="str"/>
      <x:c r="E8" s="17" t="str"/>
      <x:c r="F8" s="17" t="str"/>
      <x:c r="G8" s="17" t="str"/>
      <x:c r="H8" s="17" t="str"/>
    </x:row>
    <x:row r="9" ht="27" customHeight="1">
      <x:c r="A9" s="16" t="str">
        <x:v>5</x:v>
      </x:c>
      <x:c r="B9" s="17" t="str">
        <x:v>Recommended transport: reliable QUIC streams for control/results + QUIC DATAGRAM for loss-tolerant audio; WebSocket and RTP/SRTP remain compatibility bindings.</x:v>
      </x:c>
      <x:c r="C9" s="17" t="str"/>
      <x:c r="D9" s="17" t="str"/>
      <x:c r="E9" s="17" t="str"/>
      <x:c r="F9" s="17" t="str"/>
      <x:c r="G9" s="17" t="str"/>
      <x:c r="H9" s="17" t="str"/>
    </x:row>
    <x:row r="10" ht="27" customHeight="1"/>
    <x:row r="11" ht="27" customHeight="1">
      <x:c r="A11" s="10" t="str">
        <x:v>Vendor</x:v>
      </x:c>
      <x:c r="B11" s="10" t="str">
        <x:v>Native</x:v>
      </x:c>
      <x:c r="C11" s="10" t="str">
        <x:v>Limited</x:v>
      </x:c>
      <x:c r="D11" s="10" t="str">
        <x:v>Explicit no</x:v>
      </x:c>
      <x:c r="E11" s="10" t="str">
        <x:v>Not documented</x:v>
      </x:c>
      <x:c r="F11" s="10" t="str">
        <x:v>Coverage score</x:v>
      </x:c>
      <x:c r="H11" s="10" t="str">
        <x:v>Legend</x:v>
      </x:c>
      <x:c r="I11" s="10" t="str">
        <x:v>Meaning</x:v>
      </x:c>
      <x:c r="J11" s="10" t="str">
        <x:v>Interpretation</x:v>
      </x:c>
    </x:row>
    <x:row r="12" ht="27" customHeight="1">
      <x:c r="A12" s="14" t="str">
        <x:v>Deepgram</x:v>
      </x:c>
      <x:c r="B12" s="14" t="n">
        <x:f>SUM(--(LEFT('Feature Matrix'!F5,1)="✓"),--(LEFT('Feature Matrix'!F6,1)="✓"),--(LEFT('Feature Matrix'!F7,1)="✓"),--(LEFT('Feature Matrix'!F8,1)="✓"),--(LEFT('Feature Matrix'!F9,1)="✓"),--(LEFT('Feature Matrix'!F10,1)="✓"),--(LEFT('Feature Matrix'!F11,1)="✓"),--(LEFT('Feature Matrix'!F12,1)="✓"),--(LEFT('Feature Matrix'!F13,1)="✓"),--(LEFT('Feature Matrix'!F14,1)="✓"),--(LEFT('Feature Matrix'!F15,1)="✓"),--(LEFT('Feature Matrix'!F16,1)="✓"),--(LEFT('Feature Matrix'!F17,1)="✓"),--(LEFT('Feature Matrix'!F18,1)="✓"),--(LEFT('Feature Matrix'!F19,1)="✓"),--(LEFT('Feature Matrix'!F20,1)="✓"),--(LEFT('Feature Matrix'!F21,1)="✓"),--(LEFT('Feature Matrix'!F22,1)="✓"),--(LEFT('Feature Matrix'!F23,1)="✓"),--(LEFT('Feature Matrix'!F24,1)="✓"),--(LEFT('Feature Matrix'!F25,1)="✓"),--(LEFT('Feature Matrix'!F26,1)="✓"),--(LEFT('Feature Matrix'!F27,1)="✓"),--(LEFT('Feature Matrix'!F28,1)="✓"),--(LEFT('Feature Matrix'!F29,1)="✓"),--(LEFT('Feature Matrix'!F30,1)="✓"),--(LEFT('Feature Matrix'!F31,1)="✓"),--(LEFT('Feature Matrix'!F32,1)="✓"),--(LEFT('Feature Matrix'!F33,1)="✓"),--(LEFT('Feature Matrix'!F34,1)="✓"),--(LEFT('Feature Matrix'!F35,1)="✓"),--(LEFT('Feature Matrix'!F36,1)="✓"),--(LEFT('Feature Matrix'!F37,1)="✓"),--(LEFT('Feature Matrix'!F38,1)="✓"),--(LEFT('Feature Matrix'!F39,1)="✓"),--(LEFT('Feature Matrix'!F40,1)="✓"),--(LEFT('Feature Matrix'!F41,1)="✓"),--(LEFT('Feature Matrix'!F42,1)="✓"),--(LEFT('Feature Matrix'!F43,1)="✓"),--(LEFT('Feature Matrix'!F44,1)="✓"),--(LEFT('Feature Matrix'!F45,1)="✓"),--(LEFT('Feature Matrix'!F46,1)="✓"),--(LEFT('Feature Matrix'!F47,1)="✓"),--(LEFT('Feature Matrix'!F48,1)="✓"),--(LEFT('Feature Matrix'!F49,1)="✓"),--(LEFT('Feature Matrix'!F50,1)="✓"),--(LEFT('Feature Matrix'!F51,1)="✓"),--(LEFT('Feature Matrix'!F52,1)="✓"),--(LEFT('Feature Matrix'!F53,1)="✓"),--(LEFT('Feature Matrix'!F54,1)="✓"),--(LEFT('Feature Matrix'!F55,1)="✓"),--(LEFT('Feature Matrix'!F56,1)="✓"),--(LEFT('Feature Matrix'!F57,1)="✓"),--(LEFT('Feature Matrix'!F58,1)="✓"),--(LEFT('Feature Matrix'!F59,1)="✓"),--(LEFT('Feature Matrix'!F60,1)="✓"),--(LEFT('Feature Matrix'!F61,1)="✓"),--(LEFT('Feature Matrix'!F62,1)="✓"),--(LEFT('Feature Matrix'!F63,1)="✓"),--(LEFT('Feature Matrix'!F64,1)="✓"),--(LEFT('Feature Matrix'!F65,1)="✓"),--(LEFT('Feature Matrix'!F66,1)="✓"),--(LEFT('Feature Matrix'!F67,1)="✓"),--(LEFT('Feature Matrix'!F68,1)="✓"),--(LEFT('Feature Matrix'!F69,1)="✓"),--(LEFT('Feature Matrix'!F70,1)="✓"))</x:f>
        <x:v>51</x:v>
      </x:c>
      <x:c r="C12" s="14" t="n">
        <x:f>SUM(--(LEFT('Feature Matrix'!F5,1)="△"),--(LEFT('Feature Matrix'!F6,1)="△"),--(LEFT('Feature Matrix'!F7,1)="△"),--(LEFT('Feature Matrix'!F8,1)="△"),--(LEFT('Feature Matrix'!F9,1)="△"),--(LEFT('Feature Matrix'!F10,1)="△"),--(LEFT('Feature Matrix'!F11,1)="△"),--(LEFT('Feature Matrix'!F12,1)="△"),--(LEFT('Feature Matrix'!F13,1)="△"),--(LEFT('Feature Matrix'!F14,1)="△"),--(LEFT('Feature Matrix'!F15,1)="△"),--(LEFT('Feature Matrix'!F16,1)="△"),--(LEFT('Feature Matrix'!F17,1)="△"),--(LEFT('Feature Matrix'!F18,1)="△"),--(LEFT('Feature Matrix'!F19,1)="△"),--(LEFT('Feature Matrix'!F20,1)="△"),--(LEFT('Feature Matrix'!F21,1)="△"),--(LEFT('Feature Matrix'!F22,1)="△"),--(LEFT('Feature Matrix'!F23,1)="△"),--(LEFT('Feature Matrix'!F24,1)="△"),--(LEFT('Feature Matrix'!F25,1)="△"),--(LEFT('Feature Matrix'!F26,1)="△"),--(LEFT('Feature Matrix'!F27,1)="△"),--(LEFT('Feature Matrix'!F28,1)="△"),--(LEFT('Feature Matrix'!F29,1)="△"),--(LEFT('Feature Matrix'!F30,1)="△"),--(LEFT('Feature Matrix'!F31,1)="△"),--(LEFT('Feature Matrix'!F32,1)="△"),--(LEFT('Feature Matrix'!F33,1)="△"),--(LEFT('Feature Matrix'!F34,1)="△"),--(LEFT('Feature Matrix'!F35,1)="△"),--(LEFT('Feature Matrix'!F36,1)="△"),--(LEFT('Feature Matrix'!F37,1)="△"),--(LEFT('Feature Matrix'!F38,1)="△"),--(LEFT('Feature Matrix'!F39,1)="△"),--(LEFT('Feature Matrix'!F40,1)="△"),--(LEFT('Feature Matrix'!F41,1)="△"),--(LEFT('Feature Matrix'!F42,1)="△"),--(LEFT('Feature Matrix'!F43,1)="△"),--(LEFT('Feature Matrix'!F44,1)="△"),--(LEFT('Feature Matrix'!F45,1)="△"),--(LEFT('Feature Matrix'!F46,1)="△"),--(LEFT('Feature Matrix'!F47,1)="△"),--(LEFT('Feature Matrix'!F48,1)="△"),--(LEFT('Feature Matrix'!F49,1)="△"),--(LEFT('Feature Matrix'!F50,1)="△"),--(LEFT('Feature Matrix'!F51,1)="△"),--(LEFT('Feature Matrix'!F52,1)="△"),--(LEFT('Feature Matrix'!F53,1)="△"),--(LEFT('Feature Matrix'!F54,1)="△"),--(LEFT('Feature Matrix'!F55,1)="△"),--(LEFT('Feature Matrix'!F56,1)="△"),--(LEFT('Feature Matrix'!F57,1)="△"),--(LEFT('Feature Matrix'!F58,1)="△"),--(LEFT('Feature Matrix'!F59,1)="△"),--(LEFT('Feature Matrix'!F60,1)="△"),--(LEFT('Feature Matrix'!F61,1)="△"),--(LEFT('Feature Matrix'!F62,1)="△"),--(LEFT('Feature Matrix'!F63,1)="△"),--(LEFT('Feature Matrix'!F64,1)="△"),--(LEFT('Feature Matrix'!F65,1)="△"),--(LEFT('Feature Matrix'!F66,1)="△"),--(LEFT('Feature Matrix'!F67,1)="△"),--(LEFT('Feature Matrix'!F68,1)="△"),--(LEFT('Feature Matrix'!F69,1)="△"),--(LEFT('Feature Matrix'!F70,1)="△"))</x:f>
        <x:v>4</x:v>
      </x:c>
      <x:c r="D12" s="14" t="n">
        <x:f>SUM(--(LEFT('Feature Matrix'!F5,1)="✕"),--(LEFT('Feature Matrix'!F6,1)="✕"),--(LEFT('Feature Matrix'!F7,1)="✕"),--(LEFT('Feature Matrix'!F8,1)="✕"),--(LEFT('Feature Matrix'!F9,1)="✕"),--(LEFT('Feature Matrix'!F10,1)="✕"),--(LEFT('Feature Matrix'!F11,1)="✕"),--(LEFT('Feature Matrix'!F12,1)="✕"),--(LEFT('Feature Matrix'!F13,1)="✕"),--(LEFT('Feature Matrix'!F14,1)="✕"),--(LEFT('Feature Matrix'!F15,1)="✕"),--(LEFT('Feature Matrix'!F16,1)="✕"),--(LEFT('Feature Matrix'!F17,1)="✕"),--(LEFT('Feature Matrix'!F18,1)="✕"),--(LEFT('Feature Matrix'!F19,1)="✕"),--(LEFT('Feature Matrix'!F20,1)="✕"),--(LEFT('Feature Matrix'!F21,1)="✕"),--(LEFT('Feature Matrix'!F22,1)="✕"),--(LEFT('Feature Matrix'!F23,1)="✕"),--(LEFT('Feature Matrix'!F24,1)="✕"),--(LEFT('Feature Matrix'!F25,1)="✕"),--(LEFT('Feature Matrix'!F26,1)="✕"),--(LEFT('Feature Matrix'!F27,1)="✕"),--(LEFT('Feature Matrix'!F28,1)="✕"),--(LEFT('Feature Matrix'!F29,1)="✕"),--(LEFT('Feature Matrix'!F30,1)="✕"),--(LEFT('Feature Matrix'!F31,1)="✕"),--(LEFT('Feature Matrix'!F32,1)="✕"),--(LEFT('Feature Matrix'!F33,1)="✕"),--(LEFT('Feature Matrix'!F34,1)="✕"),--(LEFT('Feature Matrix'!F35,1)="✕"),--(LEFT('Feature Matrix'!F36,1)="✕"),--(LEFT('Feature Matrix'!F37,1)="✕"),--(LEFT('Feature Matrix'!F38,1)="✕"),--(LEFT('Feature Matrix'!F39,1)="✕"),--(LEFT('Feature Matrix'!F40,1)="✕"),--(LEFT('Feature Matrix'!F41,1)="✕"),--(LEFT('Feature Matrix'!F42,1)="✕"),--(LEFT('Feature Matrix'!F43,1)="✕"),--(LEFT('Feature Matrix'!F44,1)="✕"),--(LEFT('Feature Matrix'!F45,1)="✕"),--(LEFT('Feature Matrix'!F46,1)="✕"),--(LEFT('Feature Matrix'!F47,1)="✕"),--(LEFT('Feature Matrix'!F48,1)="✕"),--(LEFT('Feature Matrix'!F49,1)="✕"),--(LEFT('Feature Matrix'!F50,1)="✕"),--(LEFT('Feature Matrix'!F51,1)="✕"),--(LEFT('Feature Matrix'!F52,1)="✕"),--(LEFT('Feature Matrix'!F53,1)="✕"),--(LEFT('Feature Matrix'!F54,1)="✕"),--(LEFT('Feature Matrix'!F55,1)="✕"),--(LEFT('Feature Matrix'!F56,1)="✕"),--(LEFT('Feature Matrix'!F57,1)="✕"),--(LEFT('Feature Matrix'!F58,1)="✕"),--(LEFT('Feature Matrix'!F59,1)="✕"),--(LEFT('Feature Matrix'!F60,1)="✕"),--(LEFT('Feature Matrix'!F61,1)="✕"),--(LEFT('Feature Matrix'!F62,1)="✕"),--(LEFT('Feature Matrix'!F63,1)="✕"),--(LEFT('Feature Matrix'!F64,1)="✕"),--(LEFT('Feature Matrix'!F65,1)="✕"),--(LEFT('Feature Matrix'!F66,1)="✕"),--(LEFT('Feature Matrix'!F67,1)="✕"),--(LEFT('Feature Matrix'!F68,1)="✕"),--(LEFT('Feature Matrix'!F69,1)="✕"),--(LEFT('Feature Matrix'!F70,1)="✕"))</x:f>
        <x:v>1</x:v>
      </x:c>
      <x:c r="E12" s="14" t="n">
        <x:f>66-B12-C12-D12</x:f>
        <x:v>10</x:v>
      </x:c>
      <x:c r="F12" s="18" t="n">
        <x:f>(B12+0.5*C12)/66</x:f>
        <x:v>0.803030303030303</x:v>
      </x:c>
      <x:c r="H12" s="19" t="str">
        <x:v>✓ Native</x:v>
      </x:c>
      <x:c r="I12" s="14" t="str">
        <x:v>Documented directly in the public ASR surface</x:v>
      </x:c>
      <x:c r="J12" s="14" t="str">
        <x:v>Counts as native</x:v>
      </x:c>
    </x:row>
    <x:row r="13" ht="27" customHeight="1">
      <x:c r="A13" s="14" t="str">
        <x:v>Speechmatics</x:v>
      </x:c>
      <x:c r="B13" s="14" t="n">
        <x:f>SUM(--(LEFT('Feature Matrix'!G5,1)="✓"),--(LEFT('Feature Matrix'!G6,1)="✓"),--(LEFT('Feature Matrix'!G7,1)="✓"),--(LEFT('Feature Matrix'!G8,1)="✓"),--(LEFT('Feature Matrix'!G9,1)="✓"),--(LEFT('Feature Matrix'!G10,1)="✓"),--(LEFT('Feature Matrix'!G11,1)="✓"),--(LEFT('Feature Matrix'!G12,1)="✓"),--(LEFT('Feature Matrix'!G13,1)="✓"),--(LEFT('Feature Matrix'!G14,1)="✓"),--(LEFT('Feature Matrix'!G15,1)="✓"),--(LEFT('Feature Matrix'!G16,1)="✓"),--(LEFT('Feature Matrix'!G17,1)="✓"),--(LEFT('Feature Matrix'!G18,1)="✓"),--(LEFT('Feature Matrix'!G19,1)="✓"),--(LEFT('Feature Matrix'!G20,1)="✓"),--(LEFT('Feature Matrix'!G21,1)="✓"),--(LEFT('Feature Matrix'!G22,1)="✓"),--(LEFT('Feature Matrix'!G23,1)="✓"),--(LEFT('Feature Matrix'!G24,1)="✓"),--(LEFT('Feature Matrix'!G25,1)="✓"),--(LEFT('Feature Matrix'!G26,1)="✓"),--(LEFT('Feature Matrix'!G27,1)="✓"),--(LEFT('Feature Matrix'!G28,1)="✓"),--(LEFT('Feature Matrix'!G29,1)="✓"),--(LEFT('Feature Matrix'!G30,1)="✓"),--(LEFT('Feature Matrix'!G31,1)="✓"),--(LEFT('Feature Matrix'!G32,1)="✓"),--(LEFT('Feature Matrix'!G33,1)="✓"),--(LEFT('Feature Matrix'!G34,1)="✓"),--(LEFT('Feature Matrix'!G35,1)="✓"),--(LEFT('Feature Matrix'!G36,1)="✓"),--(LEFT('Feature Matrix'!G37,1)="✓"),--(LEFT('Feature Matrix'!G38,1)="✓"),--(LEFT('Feature Matrix'!G39,1)="✓"),--(LEFT('Feature Matrix'!G40,1)="✓"),--(LEFT('Feature Matrix'!G41,1)="✓"),--(LEFT('Feature Matrix'!G42,1)="✓"),--(LEFT('Feature Matrix'!G43,1)="✓"),--(LEFT('Feature Matrix'!G44,1)="✓"),--(LEFT('Feature Matrix'!G45,1)="✓"),--(LEFT('Feature Matrix'!G46,1)="✓"),--(LEFT('Feature Matrix'!G47,1)="✓"),--(LEFT('Feature Matrix'!G48,1)="✓"),--(LEFT('Feature Matrix'!G49,1)="✓"),--(LEFT('Feature Matrix'!G50,1)="✓"),--(LEFT('Feature Matrix'!G51,1)="✓"),--(LEFT('Feature Matrix'!G52,1)="✓"),--(LEFT('Feature Matrix'!G53,1)="✓"),--(LEFT('Feature Matrix'!G54,1)="✓"),--(LEFT('Feature Matrix'!G55,1)="✓"),--(LEFT('Feature Matrix'!G56,1)="✓"),--(LEFT('Feature Matrix'!G57,1)="✓"),--(LEFT('Feature Matrix'!G58,1)="✓"),--(LEFT('Feature Matrix'!G59,1)="✓"),--(LEFT('Feature Matrix'!G60,1)="✓"),--(LEFT('Feature Matrix'!G61,1)="✓"),--(LEFT('Feature Matrix'!G62,1)="✓"),--(LEFT('Feature Matrix'!G63,1)="✓"),--(LEFT('Feature Matrix'!G64,1)="✓"),--(LEFT('Feature Matrix'!G65,1)="✓"),--(LEFT('Feature Matrix'!G66,1)="✓"),--(LEFT('Feature Matrix'!G67,1)="✓"),--(LEFT('Feature Matrix'!G68,1)="✓"),--(LEFT('Feature Matrix'!G69,1)="✓"),--(LEFT('Feature Matrix'!G70,1)="✓"))</x:f>
        <x:v>41</x:v>
      </x:c>
      <x:c r="C13" s="14" t="n">
        <x:f>SUM(--(LEFT('Feature Matrix'!G5,1)="△"),--(LEFT('Feature Matrix'!G6,1)="△"),--(LEFT('Feature Matrix'!G7,1)="△"),--(LEFT('Feature Matrix'!G8,1)="△"),--(LEFT('Feature Matrix'!G9,1)="△"),--(LEFT('Feature Matrix'!G10,1)="△"),--(LEFT('Feature Matrix'!G11,1)="△"),--(LEFT('Feature Matrix'!G12,1)="△"),--(LEFT('Feature Matrix'!G13,1)="△"),--(LEFT('Feature Matrix'!G14,1)="△"),--(LEFT('Feature Matrix'!G15,1)="△"),--(LEFT('Feature Matrix'!G16,1)="△"),--(LEFT('Feature Matrix'!G17,1)="△"),--(LEFT('Feature Matrix'!G18,1)="△"),--(LEFT('Feature Matrix'!G19,1)="△"),--(LEFT('Feature Matrix'!G20,1)="△"),--(LEFT('Feature Matrix'!G21,1)="△"),--(LEFT('Feature Matrix'!G22,1)="△"),--(LEFT('Feature Matrix'!G23,1)="△"),--(LEFT('Feature Matrix'!G24,1)="△"),--(LEFT('Feature Matrix'!G25,1)="△"),--(LEFT('Feature Matrix'!G26,1)="△"),--(LEFT('Feature Matrix'!G27,1)="△"),--(LEFT('Feature Matrix'!G28,1)="△"),--(LEFT('Feature Matrix'!G29,1)="△"),--(LEFT('Feature Matrix'!G30,1)="△"),--(LEFT('Feature Matrix'!G31,1)="△"),--(LEFT('Feature Matrix'!G32,1)="△"),--(LEFT('Feature Matrix'!G33,1)="△"),--(LEFT('Feature Matrix'!G34,1)="△"),--(LEFT('Feature Matrix'!G35,1)="△"),--(LEFT('Feature Matrix'!G36,1)="△"),--(LEFT('Feature Matrix'!G37,1)="△"),--(LEFT('Feature Matrix'!G38,1)="△"),--(LEFT('Feature Matrix'!G39,1)="△"),--(LEFT('Feature Matrix'!G40,1)="△"),--(LEFT('Feature Matrix'!G41,1)="△"),--(LEFT('Feature Matrix'!G42,1)="△"),--(LEFT('Feature Matrix'!G43,1)="△"),--(LEFT('Feature Matrix'!G44,1)="△"),--(LEFT('Feature Matrix'!G45,1)="△"),--(LEFT('Feature Matrix'!G46,1)="△"),--(LEFT('Feature Matrix'!G47,1)="△"),--(LEFT('Feature Matrix'!G48,1)="△"),--(LEFT('Feature Matrix'!G49,1)="△"),--(LEFT('Feature Matrix'!G50,1)="△"),--(LEFT('Feature Matrix'!G51,1)="△"),--(LEFT('Feature Matrix'!G52,1)="△"),--(LEFT('Feature Matrix'!G53,1)="△"),--(LEFT('Feature Matrix'!G54,1)="△"),--(LEFT('Feature Matrix'!G55,1)="△"),--(LEFT('Feature Matrix'!G56,1)="△"),--(LEFT('Feature Matrix'!G57,1)="△"),--(LEFT('Feature Matrix'!G58,1)="△"),--(LEFT('Feature Matrix'!G59,1)="△"),--(LEFT('Feature Matrix'!G60,1)="△"),--(LEFT('Feature Matrix'!G61,1)="△"),--(LEFT('Feature Matrix'!G62,1)="△"),--(LEFT('Feature Matrix'!G63,1)="△"),--(LEFT('Feature Matrix'!G64,1)="△"),--(LEFT('Feature Matrix'!G65,1)="△"),--(LEFT('Feature Matrix'!G66,1)="△"),--(LEFT('Feature Matrix'!G67,1)="△"),--(LEFT('Feature Matrix'!G68,1)="△"),--(LEFT('Feature Matrix'!G69,1)="△"),--(LEFT('Feature Matrix'!G70,1)="△"))</x:f>
        <x:v>10</x:v>
      </x:c>
      <x:c r="D13" s="14" t="n">
        <x:f>SUM(--(LEFT('Feature Matrix'!G5,1)="✕"),--(LEFT('Feature Matrix'!G6,1)="✕"),--(LEFT('Feature Matrix'!G7,1)="✕"),--(LEFT('Feature Matrix'!G8,1)="✕"),--(LEFT('Feature Matrix'!G9,1)="✕"),--(LEFT('Feature Matrix'!G10,1)="✕"),--(LEFT('Feature Matrix'!G11,1)="✕"),--(LEFT('Feature Matrix'!G12,1)="✕"),--(LEFT('Feature Matrix'!G13,1)="✕"),--(LEFT('Feature Matrix'!G14,1)="✕"),--(LEFT('Feature Matrix'!G15,1)="✕"),--(LEFT('Feature Matrix'!G16,1)="✕"),--(LEFT('Feature Matrix'!G17,1)="✕"),--(LEFT('Feature Matrix'!G18,1)="✕"),--(LEFT('Feature Matrix'!G19,1)="✕"),--(LEFT('Feature Matrix'!G20,1)="✕"),--(LEFT('Feature Matrix'!G21,1)="✕"),--(LEFT('Feature Matrix'!G22,1)="✕"),--(LEFT('Feature Matrix'!G23,1)="✕"),--(LEFT('Feature Matrix'!G24,1)="✕"),--(LEFT('Feature Matrix'!G25,1)="✕"),--(LEFT('Feature Matrix'!G26,1)="✕"),--(LEFT('Feature Matrix'!G27,1)="✕"),--(LEFT('Feature Matrix'!G28,1)="✕"),--(LEFT('Feature Matrix'!G29,1)="✕"),--(LEFT('Feature Matrix'!G30,1)="✕"),--(LEFT('Feature Matrix'!G31,1)="✕"),--(LEFT('Feature Matrix'!G32,1)="✕"),--(LEFT('Feature Matrix'!G33,1)="✕"),--(LEFT('Feature Matrix'!G34,1)="✕"),--(LEFT('Feature Matrix'!G35,1)="✕"),--(LEFT('Feature Matrix'!G36,1)="✕"),--(LEFT('Feature Matrix'!G37,1)="✕"),--(LEFT('Feature Matrix'!G38,1)="✕"),--(LEFT('Feature Matrix'!G39,1)="✕"),--(LEFT('Feature Matrix'!G40,1)="✕"),--(LEFT('Feature Matrix'!G41,1)="✕"),--(LEFT('Feature Matrix'!G42,1)="✕"),--(LEFT('Feature Matrix'!G43,1)="✕"),--(LEFT('Feature Matrix'!G44,1)="✕"),--(LEFT('Feature Matrix'!G45,1)="✕"),--(LEFT('Feature Matrix'!G46,1)="✕"),--(LEFT('Feature Matrix'!G47,1)="✕"),--(LEFT('Feature Matrix'!G48,1)="✕"),--(LEFT('Feature Matrix'!G49,1)="✕"),--(LEFT('Feature Matrix'!G50,1)="✕"),--(LEFT('Feature Matrix'!G51,1)="✕"),--(LEFT('Feature Matrix'!G52,1)="✕"),--(LEFT('Feature Matrix'!G53,1)="✕"),--(LEFT('Feature Matrix'!G54,1)="✕"),--(LEFT('Feature Matrix'!G55,1)="✕"),--(LEFT('Feature Matrix'!G56,1)="✕"),--(LEFT('Feature Matrix'!G57,1)="✕"),--(LEFT('Feature Matrix'!G58,1)="✕"),--(LEFT('Feature Matrix'!G59,1)="✕"),--(LEFT('Feature Matrix'!G60,1)="✕"),--(LEFT('Feature Matrix'!G61,1)="✕"),--(LEFT('Feature Matrix'!G62,1)="✕"),--(LEFT('Feature Matrix'!G63,1)="✕"),--(LEFT('Feature Matrix'!G64,1)="✕"),--(LEFT('Feature Matrix'!G65,1)="✕"),--(LEFT('Feature Matrix'!G66,1)="✕"),--(LEFT('Feature Matrix'!G67,1)="✕"),--(LEFT('Feature Matrix'!G68,1)="✕"),--(LEFT('Feature Matrix'!G69,1)="✕"),--(LEFT('Feature Matrix'!G70,1)="✕"))</x:f>
        <x:v>0</x:v>
      </x:c>
      <x:c r="E13" s="14" t="n">
        <x:f>66-B13-C13-D13</x:f>
        <x:v>15</x:v>
      </x:c>
      <x:c r="F13" s="18" t="n">
        <x:f>(B13+0.5*C13)/66</x:f>
        <x:v>0.696969696969697</x:v>
      </x:c>
      <x:c r="H13" s="20" t="str">
        <x:v>△ Limited</x:v>
      </x:c>
      <x:c r="I13" s="14" t="str">
        <x:v>Adjacent, batch-only, model-dependent, SDK-only, or narrower</x:v>
      </x:c>
      <x:c r="J13" s="14" t="str">
        <x:v>Counts half in coverage score</x:v>
      </x:c>
    </x:row>
    <x:row r="14" ht="27" customHeight="1">
      <x:c r="A14" s="14" t="str">
        <x:v>AssemblyAI</x:v>
      </x:c>
      <x:c r="B14" s="14" t="n">
        <x:f>SUM(--(LEFT('Feature Matrix'!H5,1)="✓"),--(LEFT('Feature Matrix'!H6,1)="✓"),--(LEFT('Feature Matrix'!H7,1)="✓"),--(LEFT('Feature Matrix'!H8,1)="✓"),--(LEFT('Feature Matrix'!H9,1)="✓"),--(LEFT('Feature Matrix'!H10,1)="✓"),--(LEFT('Feature Matrix'!H11,1)="✓"),--(LEFT('Feature Matrix'!H12,1)="✓"),--(LEFT('Feature Matrix'!H13,1)="✓"),--(LEFT('Feature Matrix'!H14,1)="✓"),--(LEFT('Feature Matrix'!H15,1)="✓"),--(LEFT('Feature Matrix'!H16,1)="✓"),--(LEFT('Feature Matrix'!H17,1)="✓"),--(LEFT('Feature Matrix'!H18,1)="✓"),--(LEFT('Feature Matrix'!H19,1)="✓"),--(LEFT('Feature Matrix'!H20,1)="✓"),--(LEFT('Feature Matrix'!H21,1)="✓"),--(LEFT('Feature Matrix'!H22,1)="✓"),--(LEFT('Feature Matrix'!H23,1)="✓"),--(LEFT('Feature Matrix'!H24,1)="✓"),--(LEFT('Feature Matrix'!H25,1)="✓"),--(LEFT('Feature Matrix'!H26,1)="✓"),--(LEFT('Feature Matrix'!H27,1)="✓"),--(LEFT('Feature Matrix'!H28,1)="✓"),--(LEFT('Feature Matrix'!H29,1)="✓"),--(LEFT('Feature Matrix'!H30,1)="✓"),--(LEFT('Feature Matrix'!H31,1)="✓"),--(LEFT('Feature Matrix'!H32,1)="✓"),--(LEFT('Feature Matrix'!H33,1)="✓"),--(LEFT('Feature Matrix'!H34,1)="✓"),--(LEFT('Feature Matrix'!H35,1)="✓"),--(LEFT('Feature Matrix'!H36,1)="✓"),--(LEFT('Feature Matrix'!H37,1)="✓"),--(LEFT('Feature Matrix'!H38,1)="✓"),--(LEFT('Feature Matrix'!H39,1)="✓"),--(LEFT('Feature Matrix'!H40,1)="✓"),--(LEFT('Feature Matrix'!H41,1)="✓"),--(LEFT('Feature Matrix'!H42,1)="✓"),--(LEFT('Feature Matrix'!H43,1)="✓"),--(LEFT('Feature Matrix'!H44,1)="✓"),--(LEFT('Feature Matrix'!H45,1)="✓"),--(LEFT('Feature Matrix'!H46,1)="✓"),--(LEFT('Feature Matrix'!H47,1)="✓"),--(LEFT('Feature Matrix'!H48,1)="✓"),--(LEFT('Feature Matrix'!H49,1)="✓"),--(LEFT('Feature Matrix'!H50,1)="✓"),--(LEFT('Feature Matrix'!H51,1)="✓"),--(LEFT('Feature Matrix'!H52,1)="✓"),--(LEFT('Feature Matrix'!H53,1)="✓"),--(LEFT('Feature Matrix'!H54,1)="✓"),--(LEFT('Feature Matrix'!H55,1)="✓"),--(LEFT('Feature Matrix'!H56,1)="✓"),--(LEFT('Feature Matrix'!H57,1)="✓"),--(LEFT('Feature Matrix'!H58,1)="✓"),--(LEFT('Feature Matrix'!H59,1)="✓"),--(LEFT('Feature Matrix'!H60,1)="✓"),--(LEFT('Feature Matrix'!H61,1)="✓"),--(LEFT('Feature Matrix'!H62,1)="✓"),--(LEFT('Feature Matrix'!H63,1)="✓"),--(LEFT('Feature Matrix'!H64,1)="✓"),--(LEFT('Feature Matrix'!H65,1)="✓"),--(LEFT('Feature Matrix'!H66,1)="✓"),--(LEFT('Feature Matrix'!H67,1)="✓"),--(LEFT('Feature Matrix'!H68,1)="✓"),--(LEFT('Feature Matrix'!H69,1)="✓"),--(LEFT('Feature Matrix'!H70,1)="✓"))</x:f>
        <x:v>47</x:v>
      </x:c>
      <x:c r="C14" s="14" t="n">
        <x:f>SUM(--(LEFT('Feature Matrix'!H5,1)="△"),--(LEFT('Feature Matrix'!H6,1)="△"),--(LEFT('Feature Matrix'!H7,1)="△"),--(LEFT('Feature Matrix'!H8,1)="△"),--(LEFT('Feature Matrix'!H9,1)="△"),--(LEFT('Feature Matrix'!H10,1)="△"),--(LEFT('Feature Matrix'!H11,1)="△"),--(LEFT('Feature Matrix'!H12,1)="△"),--(LEFT('Feature Matrix'!H13,1)="△"),--(LEFT('Feature Matrix'!H14,1)="△"),--(LEFT('Feature Matrix'!H15,1)="△"),--(LEFT('Feature Matrix'!H16,1)="△"),--(LEFT('Feature Matrix'!H17,1)="△"),--(LEFT('Feature Matrix'!H18,1)="△"),--(LEFT('Feature Matrix'!H19,1)="△"),--(LEFT('Feature Matrix'!H20,1)="△"),--(LEFT('Feature Matrix'!H21,1)="△"),--(LEFT('Feature Matrix'!H22,1)="△"),--(LEFT('Feature Matrix'!H23,1)="△"),--(LEFT('Feature Matrix'!H24,1)="△"),--(LEFT('Feature Matrix'!H25,1)="△"),--(LEFT('Feature Matrix'!H26,1)="△"),--(LEFT('Feature Matrix'!H27,1)="△"),--(LEFT('Feature Matrix'!H28,1)="△"),--(LEFT('Feature Matrix'!H29,1)="△"),--(LEFT('Feature Matrix'!H30,1)="△"),--(LEFT('Feature Matrix'!H31,1)="△"),--(LEFT('Feature Matrix'!H32,1)="△"),--(LEFT('Feature Matrix'!H33,1)="△"),--(LEFT('Feature Matrix'!H34,1)="△"),--(LEFT('Feature Matrix'!H35,1)="△"),--(LEFT('Feature Matrix'!H36,1)="△"),--(LEFT('Feature Matrix'!H37,1)="△"),--(LEFT('Feature Matrix'!H38,1)="△"),--(LEFT('Feature Matrix'!H39,1)="△"),--(LEFT('Feature Matrix'!H40,1)="△"),--(LEFT('Feature Matrix'!H41,1)="△"),--(LEFT('Feature Matrix'!H42,1)="△"),--(LEFT('Feature Matrix'!H43,1)="△"),--(LEFT('Feature Matrix'!H44,1)="△"),--(LEFT('Feature Matrix'!H45,1)="△"),--(LEFT('Feature Matrix'!H46,1)="△"),--(LEFT('Feature Matrix'!H47,1)="△"),--(LEFT('Feature Matrix'!H48,1)="△"),--(LEFT('Feature Matrix'!H49,1)="△"),--(LEFT('Feature Matrix'!H50,1)="△"),--(LEFT('Feature Matrix'!H51,1)="△"),--(LEFT('Feature Matrix'!H52,1)="△"),--(LEFT('Feature Matrix'!H53,1)="△"),--(LEFT('Feature Matrix'!H54,1)="△"),--(LEFT('Feature Matrix'!H55,1)="△"),--(LEFT('Feature Matrix'!H56,1)="△"),--(LEFT('Feature Matrix'!H57,1)="△"),--(LEFT('Feature Matrix'!H58,1)="△"),--(LEFT('Feature Matrix'!H59,1)="△"),--(LEFT('Feature Matrix'!H60,1)="△"),--(LEFT('Feature Matrix'!H61,1)="△"),--(LEFT('Feature Matrix'!H62,1)="△"),--(LEFT('Feature Matrix'!H63,1)="△"),--(LEFT('Feature Matrix'!H64,1)="△"),--(LEFT('Feature Matrix'!H65,1)="△"),--(LEFT('Feature Matrix'!H66,1)="△"),--(LEFT('Feature Matrix'!H67,1)="△"),--(LEFT('Feature Matrix'!H68,1)="△"),--(LEFT('Feature Matrix'!H69,1)="△"),--(LEFT('Feature Matrix'!H70,1)="△"))</x:f>
        <x:v>10</x:v>
      </x:c>
      <x:c r="D14" s="14" t="n">
        <x:f>SUM(--(LEFT('Feature Matrix'!H5,1)="✕"),--(LEFT('Feature Matrix'!H6,1)="✕"),--(LEFT('Feature Matrix'!H7,1)="✕"),--(LEFT('Feature Matrix'!H8,1)="✕"),--(LEFT('Feature Matrix'!H9,1)="✕"),--(LEFT('Feature Matrix'!H10,1)="✕"),--(LEFT('Feature Matrix'!H11,1)="✕"),--(LEFT('Feature Matrix'!H12,1)="✕"),--(LEFT('Feature Matrix'!H13,1)="✕"),--(LEFT('Feature Matrix'!H14,1)="✕"),--(LEFT('Feature Matrix'!H15,1)="✕"),--(LEFT('Feature Matrix'!H16,1)="✕"),--(LEFT('Feature Matrix'!H17,1)="✕"),--(LEFT('Feature Matrix'!H18,1)="✕"),--(LEFT('Feature Matrix'!H19,1)="✕"),--(LEFT('Feature Matrix'!H20,1)="✕"),--(LEFT('Feature Matrix'!H21,1)="✕"),--(LEFT('Feature Matrix'!H22,1)="✕"),--(LEFT('Feature Matrix'!H23,1)="✕"),--(LEFT('Feature Matrix'!H24,1)="✕"),--(LEFT('Feature Matrix'!H25,1)="✕"),--(LEFT('Feature Matrix'!H26,1)="✕"),--(LEFT('Feature Matrix'!H27,1)="✕"),--(LEFT('Feature Matrix'!H28,1)="✕"),--(LEFT('Feature Matrix'!H29,1)="✕"),--(LEFT('Feature Matrix'!H30,1)="✕"),--(LEFT('Feature Matrix'!H31,1)="✕"),--(LEFT('Feature Matrix'!H32,1)="✕"),--(LEFT('Feature Matrix'!H33,1)="✕"),--(LEFT('Feature Matrix'!H34,1)="✕"),--(LEFT('Feature Matrix'!H35,1)="✕"),--(LEFT('Feature Matrix'!H36,1)="✕"),--(LEFT('Feature Matrix'!H37,1)="✕"),--(LEFT('Feature Matrix'!H38,1)="✕"),--(LEFT('Feature Matrix'!H39,1)="✕"),--(LEFT('Feature Matrix'!H40,1)="✕"),--(LEFT('Feature Matrix'!H41,1)="✕"),--(LEFT('Feature Matrix'!H42,1)="✕"),--(LEFT('Feature Matrix'!H43,1)="✕"),--(LEFT('Feature Matrix'!H44,1)="✕"),--(LEFT('Feature Matrix'!H45,1)="✕"),--(LEFT('Feature Matrix'!H46,1)="✕"),--(LEFT('Feature Matrix'!H47,1)="✕"),--(LEFT('Feature Matrix'!H48,1)="✕"),--(LEFT('Feature Matrix'!H49,1)="✕"),--(LEFT('Feature Matrix'!H50,1)="✕"),--(LEFT('Feature Matrix'!H51,1)="✕"),--(LEFT('Feature Matrix'!H52,1)="✕"),--(LEFT('Feature Matrix'!H53,1)="✕"),--(LEFT('Feature Matrix'!H54,1)="✕"),--(LEFT('Feature Matrix'!H55,1)="✕"),--(LEFT('Feature Matrix'!H56,1)="✕"),--(LEFT('Feature Matrix'!H57,1)="✕"),--(LEFT('Feature Matrix'!H58,1)="✕"),--(LEFT('Feature Matrix'!H59,1)="✕"),--(LEFT('Feature Matrix'!H60,1)="✕"),--(LEFT('Feature Matrix'!H61,1)="✕"),--(LEFT('Feature Matrix'!H62,1)="✕"),--(LEFT('Feature Matrix'!H63,1)="✕"),--(LEFT('Feature Matrix'!H64,1)="✕"),--(LEFT('Feature Matrix'!H65,1)="✕"),--(LEFT('Feature Matrix'!H66,1)="✕"),--(LEFT('Feature Matrix'!H67,1)="✕"),--(LEFT('Feature Matrix'!H68,1)="✕"),--(LEFT('Feature Matrix'!H69,1)="✕"),--(LEFT('Feature Matrix'!H70,1)="✕"))</x:f>
        <x:v>0</x:v>
      </x:c>
      <x:c r="E14" s="14" t="n">
        <x:f>66-B14-C14-D14</x:f>
        <x:v>9</x:v>
      </x:c>
      <x:c r="F14" s="18" t="n">
        <x:f>(B14+0.5*C14)/66</x:f>
        <x:v>0.7878787878787878</x:v>
      </x:c>
      <x:c r="H14" s="21" t="str">
        <x:v>✕ Explicitly unsupported</x:v>
      </x:c>
      <x:c r="I14" s="14" t="str">
        <x:v>Vendor documentation explicitly says it is unavailable</x:v>
      </x:c>
      <x:c r="J14" s="14" t="str">
        <x:v>Does not imply permanent product direction</x:v>
      </x:c>
    </x:row>
    <x:row r="15" ht="27" customHeight="1">
      <x:c r="A15" s="14" t="str">
        <x:v>ElevenLabs</x:v>
      </x:c>
      <x:c r="B15" s="14" t="n">
        <x:f>SUM(--(LEFT('Feature Matrix'!I5,1)="✓"),--(LEFT('Feature Matrix'!I6,1)="✓"),--(LEFT('Feature Matrix'!I7,1)="✓"),--(LEFT('Feature Matrix'!I8,1)="✓"),--(LEFT('Feature Matrix'!I9,1)="✓"),--(LEFT('Feature Matrix'!I10,1)="✓"),--(LEFT('Feature Matrix'!I11,1)="✓"),--(LEFT('Feature Matrix'!I12,1)="✓"),--(LEFT('Feature Matrix'!I13,1)="✓"),--(LEFT('Feature Matrix'!I14,1)="✓"),--(LEFT('Feature Matrix'!I15,1)="✓"),--(LEFT('Feature Matrix'!I16,1)="✓"),--(LEFT('Feature Matrix'!I17,1)="✓"),--(LEFT('Feature Matrix'!I18,1)="✓"),--(LEFT('Feature Matrix'!I19,1)="✓"),--(LEFT('Feature Matrix'!I20,1)="✓"),--(LEFT('Feature Matrix'!I21,1)="✓"),--(LEFT('Feature Matrix'!I22,1)="✓"),--(LEFT('Feature Matrix'!I23,1)="✓"),--(LEFT('Feature Matrix'!I24,1)="✓"),--(LEFT('Feature Matrix'!I25,1)="✓"),--(LEFT('Feature Matrix'!I26,1)="✓"),--(LEFT('Feature Matrix'!I27,1)="✓"),--(LEFT('Feature Matrix'!I28,1)="✓"),--(LEFT('Feature Matrix'!I29,1)="✓"),--(LEFT('Feature Matrix'!I30,1)="✓"),--(LEFT('Feature Matrix'!I31,1)="✓"),--(LEFT('Feature Matrix'!I32,1)="✓"),--(LEFT('Feature Matrix'!I33,1)="✓"),--(LEFT('Feature Matrix'!I34,1)="✓"),--(LEFT('Feature Matrix'!I35,1)="✓"),--(LEFT('Feature Matrix'!I36,1)="✓"),--(LEFT('Feature Matrix'!I37,1)="✓"),--(LEFT('Feature Matrix'!I38,1)="✓"),--(LEFT('Feature Matrix'!I39,1)="✓"),--(LEFT('Feature Matrix'!I40,1)="✓"),--(LEFT('Feature Matrix'!I41,1)="✓"),--(LEFT('Feature Matrix'!I42,1)="✓"),--(LEFT('Feature Matrix'!I43,1)="✓"),--(LEFT('Feature Matrix'!I44,1)="✓"),--(LEFT('Feature Matrix'!I45,1)="✓"),--(LEFT('Feature Matrix'!I46,1)="✓"),--(LEFT('Feature Matrix'!I47,1)="✓"),--(LEFT('Feature Matrix'!I48,1)="✓"),--(LEFT('Feature Matrix'!I49,1)="✓"),--(LEFT('Feature Matrix'!I50,1)="✓"),--(LEFT('Feature Matrix'!I51,1)="✓"),--(LEFT('Feature Matrix'!I52,1)="✓"),--(LEFT('Feature Matrix'!I53,1)="✓"),--(LEFT('Feature Matrix'!I54,1)="✓"),--(LEFT('Feature Matrix'!I55,1)="✓"),--(LEFT('Feature Matrix'!I56,1)="✓"),--(LEFT('Feature Matrix'!I57,1)="✓"),--(LEFT('Feature Matrix'!I58,1)="✓"),--(LEFT('Feature Matrix'!I59,1)="✓"),--(LEFT('Feature Matrix'!I60,1)="✓"),--(LEFT('Feature Matrix'!I61,1)="✓"),--(LEFT('Feature Matrix'!I62,1)="✓"),--(LEFT('Feature Matrix'!I63,1)="✓"),--(LEFT('Feature Matrix'!I64,1)="✓"),--(LEFT('Feature Matrix'!I65,1)="✓"),--(LEFT('Feature Matrix'!I66,1)="✓"),--(LEFT('Feature Matrix'!I67,1)="✓"),--(LEFT('Feature Matrix'!I68,1)="✓"),--(LEFT('Feature Matrix'!I69,1)="✓"),--(LEFT('Feature Matrix'!I70,1)="✓"))</x:f>
        <x:v>35</x:v>
      </x:c>
      <x:c r="C15" s="14" t="n">
        <x:f>SUM(--(LEFT('Feature Matrix'!I5,1)="△"),--(LEFT('Feature Matrix'!I6,1)="△"),--(LEFT('Feature Matrix'!I7,1)="△"),--(LEFT('Feature Matrix'!I8,1)="△"),--(LEFT('Feature Matrix'!I9,1)="△"),--(LEFT('Feature Matrix'!I10,1)="△"),--(LEFT('Feature Matrix'!I11,1)="△"),--(LEFT('Feature Matrix'!I12,1)="△"),--(LEFT('Feature Matrix'!I13,1)="△"),--(LEFT('Feature Matrix'!I14,1)="△"),--(LEFT('Feature Matrix'!I15,1)="△"),--(LEFT('Feature Matrix'!I16,1)="△"),--(LEFT('Feature Matrix'!I17,1)="△"),--(LEFT('Feature Matrix'!I18,1)="△"),--(LEFT('Feature Matrix'!I19,1)="△"),--(LEFT('Feature Matrix'!I20,1)="△"),--(LEFT('Feature Matrix'!I21,1)="△"),--(LEFT('Feature Matrix'!I22,1)="△"),--(LEFT('Feature Matrix'!I23,1)="△"),--(LEFT('Feature Matrix'!I24,1)="△"),--(LEFT('Feature Matrix'!I25,1)="△"),--(LEFT('Feature Matrix'!I26,1)="△"),--(LEFT('Feature Matrix'!I27,1)="△"),--(LEFT('Feature Matrix'!I28,1)="△"),--(LEFT('Feature Matrix'!I29,1)="△"),--(LEFT('Feature Matrix'!I30,1)="△"),--(LEFT('Feature Matrix'!I31,1)="△"),--(LEFT('Feature Matrix'!I32,1)="△"),--(LEFT('Feature Matrix'!I33,1)="△"),--(LEFT('Feature Matrix'!I34,1)="△"),--(LEFT('Feature Matrix'!I35,1)="△"),--(LEFT('Feature Matrix'!I36,1)="△"),--(LEFT('Feature Matrix'!I37,1)="△"),--(LEFT('Feature Matrix'!I38,1)="△"),--(LEFT('Feature Matrix'!I39,1)="△"),--(LEFT('Feature Matrix'!I40,1)="△"),--(LEFT('Feature Matrix'!I41,1)="△"),--(LEFT('Feature Matrix'!I42,1)="△"),--(LEFT('Feature Matrix'!I43,1)="△"),--(LEFT('Feature Matrix'!I44,1)="△"),--(LEFT('Feature Matrix'!I45,1)="△"),--(LEFT('Feature Matrix'!I46,1)="△"),--(LEFT('Feature Matrix'!I47,1)="△"),--(LEFT('Feature Matrix'!I48,1)="△"),--(LEFT('Feature Matrix'!I49,1)="△"),--(LEFT('Feature Matrix'!I50,1)="△"),--(LEFT('Feature Matrix'!I51,1)="△"),--(LEFT('Feature Matrix'!I52,1)="△"),--(LEFT('Feature Matrix'!I53,1)="△"),--(LEFT('Feature Matrix'!I54,1)="△"),--(LEFT('Feature Matrix'!I55,1)="△"),--(LEFT('Feature Matrix'!I56,1)="△"),--(LEFT('Feature Matrix'!I57,1)="△"),--(LEFT('Feature Matrix'!I58,1)="△"),--(LEFT('Feature Matrix'!I59,1)="△"),--(LEFT('Feature Matrix'!I60,1)="△"),--(LEFT('Feature Matrix'!I61,1)="△"),--(LEFT('Feature Matrix'!I62,1)="△"),--(LEFT('Feature Matrix'!I63,1)="△"),--(LEFT('Feature Matrix'!I64,1)="△"),--(LEFT('Feature Matrix'!I65,1)="△"),--(LEFT('Feature Matrix'!I66,1)="△"),--(LEFT('Feature Matrix'!I67,1)="△"),--(LEFT('Feature Matrix'!I68,1)="△"),--(LEFT('Feature Matrix'!I69,1)="△"),--(LEFT('Feature Matrix'!I70,1)="△"))</x:f>
        <x:v>11</x:v>
      </x:c>
      <x:c r="D15" s="14" t="n">
        <x:f>SUM(--(LEFT('Feature Matrix'!I5,1)="✕"),--(LEFT('Feature Matrix'!I6,1)="✕"),--(LEFT('Feature Matrix'!I7,1)="✕"),--(LEFT('Feature Matrix'!I8,1)="✕"),--(LEFT('Feature Matrix'!I9,1)="✕"),--(LEFT('Feature Matrix'!I10,1)="✕"),--(LEFT('Feature Matrix'!I11,1)="✕"),--(LEFT('Feature Matrix'!I12,1)="✕"),--(LEFT('Feature Matrix'!I13,1)="✕"),--(LEFT('Feature Matrix'!I14,1)="✕"),--(LEFT('Feature Matrix'!I15,1)="✕"),--(LEFT('Feature Matrix'!I16,1)="✕"),--(LEFT('Feature Matrix'!I17,1)="✕"),--(LEFT('Feature Matrix'!I18,1)="✕"),--(LEFT('Feature Matrix'!I19,1)="✕"),--(LEFT('Feature Matrix'!I20,1)="✕"),--(LEFT('Feature Matrix'!I21,1)="✕"),--(LEFT('Feature Matrix'!I22,1)="✕"),--(LEFT('Feature Matrix'!I23,1)="✕"),--(LEFT('Feature Matrix'!I24,1)="✕"),--(LEFT('Feature Matrix'!I25,1)="✕"),--(LEFT('Feature Matrix'!I26,1)="✕"),--(LEFT('Feature Matrix'!I27,1)="✕"),--(LEFT('Feature Matrix'!I28,1)="✕"),--(LEFT('Feature Matrix'!I29,1)="✕"),--(LEFT('Feature Matrix'!I30,1)="✕"),--(LEFT('Feature Matrix'!I31,1)="✕"),--(LEFT('Feature Matrix'!I32,1)="✕"),--(LEFT('Feature Matrix'!I33,1)="✕"),--(LEFT('Feature Matrix'!I34,1)="✕"),--(LEFT('Feature Matrix'!I35,1)="✕"),--(LEFT('Feature Matrix'!I36,1)="✕"),--(LEFT('Feature Matrix'!I37,1)="✕"),--(LEFT('Feature Matrix'!I38,1)="✕"),--(LEFT('Feature Matrix'!I39,1)="✕"),--(LEFT('Feature Matrix'!I40,1)="✕"),--(LEFT('Feature Matrix'!I41,1)="✕"),--(LEFT('Feature Matrix'!I42,1)="✕"),--(LEFT('Feature Matrix'!I43,1)="✕"),--(LEFT('Feature Matrix'!I44,1)="✕"),--(LEFT('Feature Matrix'!I45,1)="✕"),--(LEFT('Feature Matrix'!I46,1)="✕"),--(LEFT('Feature Matrix'!I47,1)="✕"),--(LEFT('Feature Matrix'!I48,1)="✕"),--(LEFT('Feature Matrix'!I49,1)="✕"),--(LEFT('Feature Matrix'!I50,1)="✕"),--(LEFT('Feature Matrix'!I51,1)="✕"),--(LEFT('Feature Matrix'!I52,1)="✕"),--(LEFT('Feature Matrix'!I53,1)="✕"),--(LEFT('Feature Matrix'!I54,1)="✕"),--(LEFT('Feature Matrix'!I55,1)="✕"),--(LEFT('Feature Matrix'!I56,1)="✕"),--(LEFT('Feature Matrix'!I57,1)="✕"),--(LEFT('Feature Matrix'!I58,1)="✕"),--(LEFT('Feature Matrix'!I59,1)="✕"),--(LEFT('Feature Matrix'!I60,1)="✕"),--(LEFT('Feature Matrix'!I61,1)="✕"),--(LEFT('Feature Matrix'!I62,1)="✕"),--(LEFT('Feature Matrix'!I63,1)="✕"),--(LEFT('Feature Matrix'!I64,1)="✕"),--(LEFT('Feature Matrix'!I65,1)="✕"),--(LEFT('Feature Matrix'!I66,1)="✕"),--(LEFT('Feature Matrix'!I67,1)="✕"),--(LEFT('Feature Matrix'!I68,1)="✕"),--(LEFT('Feature Matrix'!I69,1)="✕"),--(LEFT('Feature Matrix'!I70,1)="✕"))</x:f>
        <x:v>0</x:v>
      </x:c>
      <x:c r="E15" s="14" t="n">
        <x:f>66-B15-C15-D15</x:f>
        <x:v>20</x:v>
      </x:c>
      <x:c r="F15" s="18" t="n">
        <x:f>(B15+0.5*C15)/66</x:f>
        <x:v>0.6136363636363636</x:v>
      </x:c>
      <x:c r="H15" s="22" t="str">
        <x:v>— Not documented</x:v>
      </x:c>
      <x:c r="I15" s="14" t="str">
        <x:v>No public support found in reviewed official docs</x:v>
      </x:c>
      <x:c r="J15" s="14" t="str">
        <x:v>Not the same as explicit unsupported</x:v>
      </x:c>
    </x:row>
    <x:row r="16" ht="27" customHeight="1">
      <x:c r="A16" s="14" t="str">
        <x:v>Soniox</x:v>
      </x:c>
      <x:c r="B16" s="14" t="n">
        <x:f>SUM(--(LEFT('Feature Matrix'!J5,1)="✓"),--(LEFT('Feature Matrix'!J6,1)="✓"),--(LEFT('Feature Matrix'!J7,1)="✓"),--(LEFT('Feature Matrix'!J8,1)="✓"),--(LEFT('Feature Matrix'!J9,1)="✓"),--(LEFT('Feature Matrix'!J10,1)="✓"),--(LEFT('Feature Matrix'!J11,1)="✓"),--(LEFT('Feature Matrix'!J12,1)="✓"),--(LEFT('Feature Matrix'!J13,1)="✓"),--(LEFT('Feature Matrix'!J14,1)="✓"),--(LEFT('Feature Matrix'!J15,1)="✓"),--(LEFT('Feature Matrix'!J16,1)="✓"),--(LEFT('Feature Matrix'!J17,1)="✓"),--(LEFT('Feature Matrix'!J18,1)="✓"),--(LEFT('Feature Matrix'!J19,1)="✓"),--(LEFT('Feature Matrix'!J20,1)="✓"),--(LEFT('Feature Matrix'!J21,1)="✓"),--(LEFT('Feature Matrix'!J22,1)="✓"),--(LEFT('Feature Matrix'!J23,1)="✓"),--(LEFT('Feature Matrix'!J24,1)="✓"),--(LEFT('Feature Matrix'!J25,1)="✓"),--(LEFT('Feature Matrix'!J26,1)="✓"),--(LEFT('Feature Matrix'!J27,1)="✓"),--(LEFT('Feature Matrix'!J28,1)="✓"),--(LEFT('Feature Matrix'!J29,1)="✓"),--(LEFT('Feature Matrix'!J30,1)="✓"),--(LEFT('Feature Matrix'!J31,1)="✓"),--(LEFT('Feature Matrix'!J32,1)="✓"),--(LEFT('Feature Matrix'!J33,1)="✓"),--(LEFT('Feature Matrix'!J34,1)="✓"),--(LEFT('Feature Matrix'!J35,1)="✓"),--(LEFT('Feature Matrix'!J36,1)="✓"),--(LEFT('Feature Matrix'!J37,1)="✓"),--(LEFT('Feature Matrix'!J38,1)="✓"),--(LEFT('Feature Matrix'!J39,1)="✓"),--(LEFT('Feature Matrix'!J40,1)="✓"),--(LEFT('Feature Matrix'!J41,1)="✓"),--(LEFT('Feature Matrix'!J42,1)="✓"),--(LEFT('Feature Matrix'!J43,1)="✓"),--(LEFT('Feature Matrix'!J44,1)="✓"),--(LEFT('Feature Matrix'!J45,1)="✓"),--(LEFT('Feature Matrix'!J46,1)="✓"),--(LEFT('Feature Matrix'!J47,1)="✓"),--(LEFT('Feature Matrix'!J48,1)="✓"),--(LEFT('Feature Matrix'!J49,1)="✓"),--(LEFT('Feature Matrix'!J50,1)="✓"),--(LEFT('Feature Matrix'!J51,1)="✓"),--(LEFT('Feature Matrix'!J52,1)="✓"),--(LEFT('Feature Matrix'!J53,1)="✓"),--(LEFT('Feature Matrix'!J54,1)="✓"),--(LEFT('Feature Matrix'!J55,1)="✓"),--(LEFT('Feature Matrix'!J56,1)="✓"),--(LEFT('Feature Matrix'!J57,1)="✓"),--(LEFT('Feature Matrix'!J58,1)="✓"),--(LEFT('Feature Matrix'!J59,1)="✓"),--(LEFT('Feature Matrix'!J60,1)="✓"),--(LEFT('Feature Matrix'!J61,1)="✓"),--(LEFT('Feature Matrix'!J62,1)="✓"),--(LEFT('Feature Matrix'!J63,1)="✓"),--(LEFT('Feature Matrix'!J64,1)="✓"),--(LEFT('Feature Matrix'!J65,1)="✓"),--(LEFT('Feature Matrix'!J66,1)="✓"),--(LEFT('Feature Matrix'!J67,1)="✓"),--(LEFT('Feature Matrix'!J68,1)="✓"),--(LEFT('Feature Matrix'!J69,1)="✓"),--(LEFT('Feature Matrix'!J70,1)="✓"))</x:f>
        <x:v>39</x:v>
      </x:c>
      <x:c r="C16" s="14" t="n">
        <x:f>SUM(--(LEFT('Feature Matrix'!J5,1)="△"),--(LEFT('Feature Matrix'!J6,1)="△"),--(LEFT('Feature Matrix'!J7,1)="△"),--(LEFT('Feature Matrix'!J8,1)="△"),--(LEFT('Feature Matrix'!J9,1)="△"),--(LEFT('Feature Matrix'!J10,1)="△"),--(LEFT('Feature Matrix'!J11,1)="△"),--(LEFT('Feature Matrix'!J12,1)="△"),--(LEFT('Feature Matrix'!J13,1)="△"),--(LEFT('Feature Matrix'!J14,1)="△"),--(LEFT('Feature Matrix'!J15,1)="△"),--(LEFT('Feature Matrix'!J16,1)="△"),--(LEFT('Feature Matrix'!J17,1)="△"),--(LEFT('Feature Matrix'!J18,1)="△"),--(LEFT('Feature Matrix'!J19,1)="△"),--(LEFT('Feature Matrix'!J20,1)="△"),--(LEFT('Feature Matrix'!J21,1)="△"),--(LEFT('Feature Matrix'!J22,1)="△"),--(LEFT('Feature Matrix'!J23,1)="△"),--(LEFT('Feature Matrix'!J24,1)="△"),--(LEFT('Feature Matrix'!J25,1)="△"),--(LEFT('Feature Matrix'!J26,1)="△"),--(LEFT('Feature Matrix'!J27,1)="△"),--(LEFT('Feature Matrix'!J28,1)="△"),--(LEFT('Feature Matrix'!J29,1)="△"),--(LEFT('Feature Matrix'!J30,1)="△"),--(LEFT('Feature Matrix'!J31,1)="△"),--(LEFT('Feature Matrix'!J32,1)="△"),--(LEFT('Feature Matrix'!J33,1)="△"),--(LEFT('Feature Matrix'!J34,1)="△"),--(LEFT('Feature Matrix'!J35,1)="△"),--(LEFT('Feature Matrix'!J36,1)="△"),--(LEFT('Feature Matrix'!J37,1)="△"),--(LEFT('Feature Matrix'!J38,1)="△"),--(LEFT('Feature Matrix'!J39,1)="△"),--(LEFT('Feature Matrix'!J40,1)="△"),--(LEFT('Feature Matrix'!J41,1)="△"),--(LEFT('Feature Matrix'!J42,1)="△"),--(LEFT('Feature Matrix'!J43,1)="△"),--(LEFT('Feature Matrix'!J44,1)="△"),--(LEFT('Feature Matrix'!J45,1)="△"),--(LEFT('Feature Matrix'!J46,1)="△"),--(LEFT('Feature Matrix'!J47,1)="△"),--(LEFT('Feature Matrix'!J48,1)="△"),--(LEFT('Feature Matrix'!J49,1)="△"),--(LEFT('Feature Matrix'!J50,1)="△"),--(LEFT('Feature Matrix'!J51,1)="△"),--(LEFT('Feature Matrix'!J52,1)="△"),--(LEFT('Feature Matrix'!J53,1)="△"),--(LEFT('Feature Matrix'!J54,1)="△"),--(LEFT('Feature Matrix'!J55,1)="△"),--(LEFT('Feature Matrix'!J56,1)="△"),--(LEFT('Feature Matrix'!J57,1)="△"),--(LEFT('Feature Matrix'!J58,1)="△"),--(LEFT('Feature Matrix'!J59,1)="△"),--(LEFT('Feature Matrix'!J60,1)="△"),--(LEFT('Feature Matrix'!J61,1)="△"),--(LEFT('Feature Matrix'!J62,1)="△"),--(LEFT('Feature Matrix'!J63,1)="△"),--(LEFT('Feature Matrix'!J64,1)="△"),--(LEFT('Feature Matrix'!J65,1)="△"),--(LEFT('Feature Matrix'!J66,1)="△"),--(LEFT('Feature Matrix'!J67,1)="△"),--(LEFT('Feature Matrix'!J68,1)="△"),--(LEFT('Feature Matrix'!J69,1)="△"),--(LEFT('Feature Matrix'!J70,1)="△"))</x:f>
        <x:v>7</x:v>
      </x:c>
      <x:c r="D16" s="14" t="n">
        <x:f>SUM(--(LEFT('Feature Matrix'!J5,1)="✕"),--(LEFT('Feature Matrix'!J6,1)="✕"),--(LEFT('Feature Matrix'!J7,1)="✕"),--(LEFT('Feature Matrix'!J8,1)="✕"),--(LEFT('Feature Matrix'!J9,1)="✕"),--(LEFT('Feature Matrix'!J10,1)="✕"),--(LEFT('Feature Matrix'!J11,1)="✕"),--(LEFT('Feature Matrix'!J12,1)="✕"),--(LEFT('Feature Matrix'!J13,1)="✕"),--(LEFT('Feature Matrix'!J14,1)="✕"),--(LEFT('Feature Matrix'!J15,1)="✕"),--(LEFT('Feature Matrix'!J16,1)="✕"),--(LEFT('Feature Matrix'!J17,1)="✕"),--(LEFT('Feature Matrix'!J18,1)="✕"),--(LEFT('Feature Matrix'!J19,1)="✕"),--(LEFT('Feature Matrix'!J20,1)="✕"),--(LEFT('Feature Matrix'!J21,1)="✕"),--(LEFT('Feature Matrix'!J22,1)="✕"),--(LEFT('Feature Matrix'!J23,1)="✕"),--(LEFT('Feature Matrix'!J24,1)="✕"),--(LEFT('Feature Matrix'!J25,1)="✕"),--(LEFT('Feature Matrix'!J26,1)="✕"),--(LEFT('Feature Matrix'!J27,1)="✕"),--(LEFT('Feature Matrix'!J28,1)="✕"),--(LEFT('Feature Matrix'!J29,1)="✕"),--(LEFT('Feature Matrix'!J30,1)="✕"),--(LEFT('Feature Matrix'!J31,1)="✕"),--(LEFT('Feature Matrix'!J32,1)="✕"),--(LEFT('Feature Matrix'!J33,1)="✕"),--(LEFT('Feature Matrix'!J34,1)="✕"),--(LEFT('Feature Matrix'!J35,1)="✕"),--(LEFT('Feature Matrix'!J36,1)="✕"),--(LEFT('Feature Matrix'!J37,1)="✕"),--(LEFT('Feature Matrix'!J38,1)="✕"),--(LEFT('Feature Matrix'!J39,1)="✕"),--(LEFT('Feature Matrix'!J40,1)="✕"),--(LEFT('Feature Matrix'!J41,1)="✕"),--(LEFT('Feature Matrix'!J42,1)="✕"),--(LEFT('Feature Matrix'!J43,1)="✕"),--(LEFT('Feature Matrix'!J44,1)="✕"),--(LEFT('Feature Matrix'!J45,1)="✕"),--(LEFT('Feature Matrix'!J46,1)="✕"),--(LEFT('Feature Matrix'!J47,1)="✕"),--(LEFT('Feature Matrix'!J48,1)="✕"),--(LEFT('Feature Matrix'!J49,1)="✕"),--(LEFT('Feature Matrix'!J50,1)="✕"),--(LEFT('Feature Matrix'!J51,1)="✕"),--(LEFT('Feature Matrix'!J52,1)="✕"),--(LEFT('Feature Matrix'!J53,1)="✕"),--(LEFT('Feature Matrix'!J54,1)="✕"),--(LEFT('Feature Matrix'!J55,1)="✕"),--(LEFT('Feature Matrix'!J56,1)="✕"),--(LEFT('Feature Matrix'!J57,1)="✕"),--(LEFT('Feature Matrix'!J58,1)="✕"),--(LEFT('Feature Matrix'!J59,1)="✕"),--(LEFT('Feature Matrix'!J60,1)="✕"),--(LEFT('Feature Matrix'!J61,1)="✕"),--(LEFT('Feature Matrix'!J62,1)="✕"),--(LEFT('Feature Matrix'!J63,1)="✕"),--(LEFT('Feature Matrix'!J64,1)="✕"),--(LEFT('Feature Matrix'!J65,1)="✕"),--(LEFT('Feature Matrix'!J66,1)="✕"),--(LEFT('Feature Matrix'!J67,1)="✕"),--(LEFT('Feature Matrix'!J68,1)="✕"),--(LEFT('Feature Matrix'!J69,1)="✕"),--(LEFT('Feature Matrix'!J70,1)="✕"))</x:f>
        <x:v>0</x:v>
      </x:c>
      <x:c r="E16" s="14" t="n">
        <x:f>66-B16-C16-D16</x:f>
        <x:v>20</x:v>
      </x:c>
      <x:c r="F16" s="18" t="n">
        <x:f>(B16+0.5*C16)/66</x:f>
        <x:v>0.6439393939393939</x:v>
      </x:c>
    </x:row>
    <x:row r="17" ht="27" customHeight="1">
      <x:c r="A17" s="14" t="str">
        <x:v>Gladia</x:v>
      </x:c>
      <x:c r="B17" s="14" t="n">
        <x:f>SUM(--(LEFT('Feature Matrix'!K5,1)="✓"),--(LEFT('Feature Matrix'!K6,1)="✓"),--(LEFT('Feature Matrix'!K7,1)="✓"),--(LEFT('Feature Matrix'!K8,1)="✓"),--(LEFT('Feature Matrix'!K9,1)="✓"),--(LEFT('Feature Matrix'!K10,1)="✓"),--(LEFT('Feature Matrix'!K11,1)="✓"),--(LEFT('Feature Matrix'!K12,1)="✓"),--(LEFT('Feature Matrix'!K13,1)="✓"),--(LEFT('Feature Matrix'!K14,1)="✓"),--(LEFT('Feature Matrix'!K15,1)="✓"),--(LEFT('Feature Matrix'!K16,1)="✓"),--(LEFT('Feature Matrix'!K17,1)="✓"),--(LEFT('Feature Matrix'!K18,1)="✓"),--(LEFT('Feature Matrix'!K19,1)="✓"),--(LEFT('Feature Matrix'!K20,1)="✓"),--(LEFT('Feature Matrix'!K21,1)="✓"),--(LEFT('Feature Matrix'!K22,1)="✓"),--(LEFT('Feature Matrix'!K23,1)="✓"),--(LEFT('Feature Matrix'!K24,1)="✓"),--(LEFT('Feature Matrix'!K25,1)="✓"),--(LEFT('Feature Matrix'!K26,1)="✓"),--(LEFT('Feature Matrix'!K27,1)="✓"),--(LEFT('Feature Matrix'!K28,1)="✓"),--(LEFT('Feature Matrix'!K29,1)="✓"),--(LEFT('Feature Matrix'!K30,1)="✓"),--(LEFT('Feature Matrix'!K31,1)="✓"),--(LEFT('Feature Matrix'!K32,1)="✓"),--(LEFT('Feature Matrix'!K33,1)="✓"),--(LEFT('Feature Matrix'!K34,1)="✓"),--(LEFT('Feature Matrix'!K35,1)="✓"),--(LEFT('Feature Matrix'!K36,1)="✓"),--(LEFT('Feature Matrix'!K37,1)="✓"),--(LEFT('Feature Matrix'!K38,1)="✓"),--(LEFT('Feature Matrix'!K39,1)="✓"),--(LEFT('Feature Matrix'!K40,1)="✓"),--(LEFT('Feature Matrix'!K41,1)="✓"),--(LEFT('Feature Matrix'!K42,1)="✓"),--(LEFT('Feature Matrix'!K43,1)="✓"),--(LEFT('Feature Matrix'!K44,1)="✓"),--(LEFT('Feature Matrix'!K45,1)="✓"),--(LEFT('Feature Matrix'!K46,1)="✓"),--(LEFT('Feature Matrix'!K47,1)="✓"),--(LEFT('Feature Matrix'!K48,1)="✓"),--(LEFT('Feature Matrix'!K49,1)="✓"),--(LEFT('Feature Matrix'!K50,1)="✓"),--(LEFT('Feature Matrix'!K51,1)="✓"),--(LEFT('Feature Matrix'!K52,1)="✓"),--(LEFT('Feature Matrix'!K53,1)="✓"),--(LEFT('Feature Matrix'!K54,1)="✓"),--(LEFT('Feature Matrix'!K55,1)="✓"),--(LEFT('Feature Matrix'!K56,1)="✓"),--(LEFT('Feature Matrix'!K57,1)="✓"),--(LEFT('Feature Matrix'!K58,1)="✓"),--(LEFT('Feature Matrix'!K59,1)="✓"),--(LEFT('Feature Matrix'!K60,1)="✓"),--(LEFT('Feature Matrix'!K61,1)="✓"),--(LEFT('Feature Matrix'!K62,1)="✓"),--(LEFT('Feature Matrix'!K63,1)="✓"),--(LEFT('Feature Matrix'!K64,1)="✓"),--(LEFT('Feature Matrix'!K65,1)="✓"),--(LEFT('Feature Matrix'!K66,1)="✓"),--(LEFT('Feature Matrix'!K67,1)="✓"),--(LEFT('Feature Matrix'!K68,1)="✓"),--(LEFT('Feature Matrix'!K69,1)="✓"),--(LEFT('Feature Matrix'!K70,1)="✓"))</x:f>
        <x:v>39</x:v>
      </x:c>
      <x:c r="C17" s="14" t="n">
        <x:f>SUM(--(LEFT('Feature Matrix'!K5,1)="△"),--(LEFT('Feature Matrix'!K6,1)="△"),--(LEFT('Feature Matrix'!K7,1)="△"),--(LEFT('Feature Matrix'!K8,1)="△"),--(LEFT('Feature Matrix'!K9,1)="△"),--(LEFT('Feature Matrix'!K10,1)="△"),--(LEFT('Feature Matrix'!K11,1)="△"),--(LEFT('Feature Matrix'!K12,1)="△"),--(LEFT('Feature Matrix'!K13,1)="△"),--(LEFT('Feature Matrix'!K14,1)="△"),--(LEFT('Feature Matrix'!K15,1)="△"),--(LEFT('Feature Matrix'!K16,1)="△"),--(LEFT('Feature Matrix'!K17,1)="△"),--(LEFT('Feature Matrix'!K18,1)="△"),--(LEFT('Feature Matrix'!K19,1)="△"),--(LEFT('Feature Matrix'!K20,1)="△"),--(LEFT('Feature Matrix'!K21,1)="△"),--(LEFT('Feature Matrix'!K22,1)="△"),--(LEFT('Feature Matrix'!K23,1)="△"),--(LEFT('Feature Matrix'!K24,1)="△"),--(LEFT('Feature Matrix'!K25,1)="△"),--(LEFT('Feature Matrix'!K26,1)="△"),--(LEFT('Feature Matrix'!K27,1)="△"),--(LEFT('Feature Matrix'!K28,1)="△"),--(LEFT('Feature Matrix'!K29,1)="△"),--(LEFT('Feature Matrix'!K30,1)="△"),--(LEFT('Feature Matrix'!K31,1)="△"),--(LEFT('Feature Matrix'!K32,1)="△"),--(LEFT('Feature Matrix'!K33,1)="△"),--(LEFT('Feature Matrix'!K34,1)="△"),--(LEFT('Feature Matrix'!K35,1)="△"),--(LEFT('Feature Matrix'!K36,1)="△"),--(LEFT('Feature Matrix'!K37,1)="△"),--(LEFT('Feature Matrix'!K38,1)="△"),--(LEFT('Feature Matrix'!K39,1)="△"),--(LEFT('Feature Matrix'!K40,1)="△"),--(LEFT('Feature Matrix'!K41,1)="△"),--(LEFT('Feature Matrix'!K42,1)="△"),--(LEFT('Feature Matrix'!K43,1)="△"),--(LEFT('Feature Matrix'!K44,1)="△"),--(LEFT('Feature Matrix'!K45,1)="△"),--(LEFT('Feature Matrix'!K46,1)="△"),--(LEFT('Feature Matrix'!K47,1)="△"),--(LEFT('Feature Matrix'!K48,1)="△"),--(LEFT('Feature Matrix'!K49,1)="△"),--(LEFT('Feature Matrix'!K50,1)="△"),--(LEFT('Feature Matrix'!K51,1)="△"),--(LEFT('Feature Matrix'!K52,1)="△"),--(LEFT('Feature Matrix'!K53,1)="△"),--(LEFT('Feature Matrix'!K54,1)="△"),--(LEFT('Feature Matrix'!K55,1)="△"),--(LEFT('Feature Matrix'!K56,1)="△"),--(LEFT('Feature Matrix'!K57,1)="△"),--(LEFT('Feature Matrix'!K58,1)="△"),--(LEFT('Feature Matrix'!K59,1)="△"),--(LEFT('Feature Matrix'!K60,1)="△"),--(LEFT('Feature Matrix'!K61,1)="△"),--(LEFT('Feature Matrix'!K62,1)="△"),--(LEFT('Feature Matrix'!K63,1)="△"),--(LEFT('Feature Matrix'!K64,1)="△"),--(LEFT('Feature Matrix'!K65,1)="△"),--(LEFT('Feature Matrix'!K66,1)="△"),--(LEFT('Feature Matrix'!K67,1)="△"),--(LEFT('Feature Matrix'!K68,1)="△"),--(LEFT('Feature Matrix'!K69,1)="△"),--(LEFT('Feature Matrix'!K70,1)="△"))</x:f>
        <x:v>6</x:v>
      </x:c>
      <x:c r="D17" s="14" t="n">
        <x:f>SUM(--(LEFT('Feature Matrix'!K5,1)="✕"),--(LEFT('Feature Matrix'!K6,1)="✕"),--(LEFT('Feature Matrix'!K7,1)="✕"),--(LEFT('Feature Matrix'!K8,1)="✕"),--(LEFT('Feature Matrix'!K9,1)="✕"),--(LEFT('Feature Matrix'!K10,1)="✕"),--(LEFT('Feature Matrix'!K11,1)="✕"),--(LEFT('Feature Matrix'!K12,1)="✕"),--(LEFT('Feature Matrix'!K13,1)="✕"),--(LEFT('Feature Matrix'!K14,1)="✕"),--(LEFT('Feature Matrix'!K15,1)="✕"),--(LEFT('Feature Matrix'!K16,1)="✕"),--(LEFT('Feature Matrix'!K17,1)="✕"),--(LEFT('Feature Matrix'!K18,1)="✕"),--(LEFT('Feature Matrix'!K19,1)="✕"),--(LEFT('Feature Matrix'!K20,1)="✕"),--(LEFT('Feature Matrix'!K21,1)="✕"),--(LEFT('Feature Matrix'!K22,1)="✕"),--(LEFT('Feature Matrix'!K23,1)="✕"),--(LEFT('Feature Matrix'!K24,1)="✕"),--(LEFT('Feature Matrix'!K25,1)="✕"),--(LEFT('Feature Matrix'!K26,1)="✕"),--(LEFT('Feature Matrix'!K27,1)="✕"),--(LEFT('Feature Matrix'!K28,1)="✕"),--(LEFT('Feature Matrix'!K29,1)="✕"),--(LEFT('Feature Matrix'!K30,1)="✕"),--(LEFT('Feature Matrix'!K31,1)="✕"),--(LEFT('Feature Matrix'!K32,1)="✕"),--(LEFT('Feature Matrix'!K33,1)="✕"),--(LEFT('Feature Matrix'!K34,1)="✕"),--(LEFT('Feature Matrix'!K35,1)="✕"),--(LEFT('Feature Matrix'!K36,1)="✕"),--(LEFT('Feature Matrix'!K37,1)="✕"),--(LEFT('Feature Matrix'!K38,1)="✕"),--(LEFT('Feature Matrix'!K39,1)="✕"),--(LEFT('Feature Matrix'!K40,1)="✕"),--(LEFT('Feature Matrix'!K41,1)="✕"),--(LEFT('Feature Matrix'!K42,1)="✕"),--(LEFT('Feature Matrix'!K43,1)="✕"),--(LEFT('Feature Matrix'!K44,1)="✕"),--(LEFT('Feature Matrix'!K45,1)="✕"),--(LEFT('Feature Matrix'!K46,1)="✕"),--(LEFT('Feature Matrix'!K47,1)="✕"),--(LEFT('Feature Matrix'!K48,1)="✕"),--(LEFT('Feature Matrix'!K49,1)="✕"),--(LEFT('Feature Matrix'!K50,1)="✕"),--(LEFT('Feature Matrix'!K51,1)="✕"),--(LEFT('Feature Matrix'!K52,1)="✕"),--(LEFT('Feature Matrix'!K53,1)="✕"),--(LEFT('Feature Matrix'!K54,1)="✕"),--(LEFT('Feature Matrix'!K55,1)="✕"),--(LEFT('Feature Matrix'!K56,1)="✕"),--(LEFT('Feature Matrix'!K57,1)="✕"),--(LEFT('Feature Matrix'!K58,1)="✕"),--(LEFT('Feature Matrix'!K59,1)="✕"),--(LEFT('Feature Matrix'!K60,1)="✕"),--(LEFT('Feature Matrix'!K61,1)="✕"),--(LEFT('Feature Matrix'!K62,1)="✕"),--(LEFT('Feature Matrix'!K63,1)="✕"),--(LEFT('Feature Matrix'!K64,1)="✕"),--(LEFT('Feature Matrix'!K65,1)="✕"),--(LEFT('Feature Matrix'!K66,1)="✕"),--(LEFT('Feature Matrix'!K67,1)="✕"),--(LEFT('Feature Matrix'!K68,1)="✕"),--(LEFT('Feature Matrix'!K69,1)="✕"),--(LEFT('Feature Matrix'!K70,1)="✕"))</x:f>
        <x:v>2</x:v>
      </x:c>
      <x:c r="E17" s="14" t="n">
        <x:f>66-B17-C17-D17</x:f>
        <x:v>19</x:v>
      </x:c>
      <x:c r="F17" s="18" t="n">
        <x:f>(B17+0.5*C17)/66</x:f>
        <x:v>0.6363636363636364</x:v>
      </x:c>
      <x:c r="H17" s="10" t="str">
        <x:v>Consortium sequence</x:v>
      </x:c>
      <x:c r="I17" s="10" t="str">
        <x:v>Deliverable</x:v>
      </x:c>
      <x:c r="J17" s="10" t="str">
        <x:v>Why now</x:v>
      </x:c>
    </x:row>
    <x:row r="18" ht="27" customHeight="1">
      <x:c r="A18" s="14" t="str">
        <x:v>OpenAI</x:v>
      </x:c>
      <x:c r="B18" s="14" t="n">
        <x:f>SUM(--(LEFT('Feature Matrix'!L5,1)="✓"),--(LEFT('Feature Matrix'!L6,1)="✓"),--(LEFT('Feature Matrix'!L7,1)="✓"),--(LEFT('Feature Matrix'!L8,1)="✓"),--(LEFT('Feature Matrix'!L9,1)="✓"),--(LEFT('Feature Matrix'!L10,1)="✓"),--(LEFT('Feature Matrix'!L11,1)="✓"),--(LEFT('Feature Matrix'!L12,1)="✓"),--(LEFT('Feature Matrix'!L13,1)="✓"),--(LEFT('Feature Matrix'!L14,1)="✓"),--(LEFT('Feature Matrix'!L15,1)="✓"),--(LEFT('Feature Matrix'!L16,1)="✓"),--(LEFT('Feature Matrix'!L17,1)="✓"),--(LEFT('Feature Matrix'!L18,1)="✓"),--(LEFT('Feature Matrix'!L19,1)="✓"),--(LEFT('Feature Matrix'!L20,1)="✓"),--(LEFT('Feature Matrix'!L21,1)="✓"),--(LEFT('Feature Matrix'!L22,1)="✓"),--(LEFT('Feature Matrix'!L23,1)="✓"),--(LEFT('Feature Matrix'!L24,1)="✓"),--(LEFT('Feature Matrix'!L25,1)="✓"),--(LEFT('Feature Matrix'!L26,1)="✓"),--(LEFT('Feature Matrix'!L27,1)="✓"),--(LEFT('Feature Matrix'!L28,1)="✓"),--(LEFT('Feature Matrix'!L29,1)="✓"),--(LEFT('Feature Matrix'!L30,1)="✓"),--(LEFT('Feature Matrix'!L31,1)="✓"),--(LEFT('Feature Matrix'!L32,1)="✓"),--(LEFT('Feature Matrix'!L33,1)="✓"),--(LEFT('Feature Matrix'!L34,1)="✓"),--(LEFT('Feature Matrix'!L35,1)="✓"),--(LEFT('Feature Matrix'!L36,1)="✓"),--(LEFT('Feature Matrix'!L37,1)="✓"),--(LEFT('Feature Matrix'!L38,1)="✓"),--(LEFT('Feature Matrix'!L39,1)="✓"),--(LEFT('Feature Matrix'!L40,1)="✓"),--(LEFT('Feature Matrix'!L41,1)="✓"),--(LEFT('Feature Matrix'!L42,1)="✓"),--(LEFT('Feature Matrix'!L43,1)="✓"),--(LEFT('Feature Matrix'!L44,1)="✓"),--(LEFT('Feature Matrix'!L45,1)="✓"),--(LEFT('Feature Matrix'!L46,1)="✓"),--(LEFT('Feature Matrix'!L47,1)="✓"),--(LEFT('Feature Matrix'!L48,1)="✓"),--(LEFT('Feature Matrix'!L49,1)="✓"),--(LEFT('Feature Matrix'!L50,1)="✓"),--(LEFT('Feature Matrix'!L51,1)="✓"),--(LEFT('Feature Matrix'!L52,1)="✓"),--(LEFT('Feature Matrix'!L53,1)="✓"),--(LEFT('Feature Matrix'!L54,1)="✓"),--(LEFT('Feature Matrix'!L55,1)="✓"),--(LEFT('Feature Matrix'!L56,1)="✓"),--(LEFT('Feature Matrix'!L57,1)="✓"),--(LEFT('Feature Matrix'!L58,1)="✓"),--(LEFT('Feature Matrix'!L59,1)="✓"),--(LEFT('Feature Matrix'!L60,1)="✓"),--(LEFT('Feature Matrix'!L61,1)="✓"),--(LEFT('Feature Matrix'!L62,1)="✓"),--(LEFT('Feature Matrix'!L63,1)="✓"),--(LEFT('Feature Matrix'!L64,1)="✓"),--(LEFT('Feature Matrix'!L65,1)="✓"),--(LEFT('Feature Matrix'!L66,1)="✓"),--(LEFT('Feature Matrix'!L67,1)="✓"),--(LEFT('Feature Matrix'!L68,1)="✓"),--(LEFT('Feature Matrix'!L69,1)="✓"),--(LEFT('Feature Matrix'!L70,1)="✓"))</x:f>
        <x:v>35</x:v>
      </x:c>
      <x:c r="C18" s="14" t="n">
        <x:f>SUM(--(LEFT('Feature Matrix'!L5,1)="△"),--(LEFT('Feature Matrix'!L6,1)="△"),--(LEFT('Feature Matrix'!L7,1)="△"),--(LEFT('Feature Matrix'!L8,1)="△"),--(LEFT('Feature Matrix'!L9,1)="△"),--(LEFT('Feature Matrix'!L10,1)="△"),--(LEFT('Feature Matrix'!L11,1)="△"),--(LEFT('Feature Matrix'!L12,1)="△"),--(LEFT('Feature Matrix'!L13,1)="△"),--(LEFT('Feature Matrix'!L14,1)="△"),--(LEFT('Feature Matrix'!L15,1)="△"),--(LEFT('Feature Matrix'!L16,1)="△"),--(LEFT('Feature Matrix'!L17,1)="△"),--(LEFT('Feature Matrix'!L18,1)="△"),--(LEFT('Feature Matrix'!L19,1)="△"),--(LEFT('Feature Matrix'!L20,1)="△"),--(LEFT('Feature Matrix'!L21,1)="△"),--(LEFT('Feature Matrix'!L22,1)="△"),--(LEFT('Feature Matrix'!L23,1)="△"),--(LEFT('Feature Matrix'!L24,1)="△"),--(LEFT('Feature Matrix'!L25,1)="△"),--(LEFT('Feature Matrix'!L26,1)="△"),--(LEFT('Feature Matrix'!L27,1)="△"),--(LEFT('Feature Matrix'!L28,1)="△"),--(LEFT('Feature Matrix'!L29,1)="△"),--(LEFT('Feature Matrix'!L30,1)="△"),--(LEFT('Feature Matrix'!L31,1)="△"),--(LEFT('Feature Matrix'!L32,1)="△"),--(LEFT('Feature Matrix'!L33,1)="△"),--(LEFT('Feature Matrix'!L34,1)="△"),--(LEFT('Feature Matrix'!L35,1)="△"),--(LEFT('Feature Matrix'!L36,1)="△"),--(LEFT('Feature Matrix'!L37,1)="△"),--(LEFT('Feature Matrix'!L38,1)="△"),--(LEFT('Feature Matrix'!L39,1)="△"),--(LEFT('Feature Matrix'!L40,1)="△"),--(LEFT('Feature Matrix'!L41,1)="△"),--(LEFT('Feature Matrix'!L42,1)="△"),--(LEFT('Feature Matrix'!L43,1)="△"),--(LEFT('Feature Matrix'!L44,1)="△"),--(LEFT('Feature Matrix'!L45,1)="△"),--(LEFT('Feature Matrix'!L46,1)="△"),--(LEFT('Feature Matrix'!L47,1)="△"),--(LEFT('Feature Matrix'!L48,1)="△"),--(LEFT('Feature Matrix'!L49,1)="△"),--(LEFT('Feature Matrix'!L50,1)="△"),--(LEFT('Feature Matrix'!L51,1)="△"),--(LEFT('Feature Matrix'!L52,1)="△"),--(LEFT('Feature Matrix'!L53,1)="△"),--(LEFT('Feature Matrix'!L54,1)="△"),--(LEFT('Feature Matrix'!L55,1)="△"),--(LEFT('Feature Matrix'!L56,1)="△"),--(LEFT('Feature Matrix'!L57,1)="△"),--(LEFT('Feature Matrix'!L58,1)="△"),--(LEFT('Feature Matrix'!L59,1)="△"),--(LEFT('Feature Matrix'!L60,1)="△"),--(LEFT('Feature Matrix'!L61,1)="△"),--(LEFT('Feature Matrix'!L62,1)="△"),--(LEFT('Feature Matrix'!L63,1)="△"),--(LEFT('Feature Matrix'!L64,1)="△"),--(LEFT('Feature Matrix'!L65,1)="△"),--(LEFT('Feature Matrix'!L66,1)="△"),--(LEFT('Feature Matrix'!L67,1)="△"),--(LEFT('Feature Matrix'!L68,1)="△"),--(LEFT('Feature Matrix'!L69,1)="△"),--(LEFT('Feature Matrix'!L70,1)="△"))</x:f>
        <x:v>12</x:v>
      </x:c>
      <x:c r="D18" s="14" t="n">
        <x:f>SUM(--(LEFT('Feature Matrix'!L5,1)="✕"),--(LEFT('Feature Matrix'!L6,1)="✕"),--(LEFT('Feature Matrix'!L7,1)="✕"),--(LEFT('Feature Matrix'!L8,1)="✕"),--(LEFT('Feature Matrix'!L9,1)="✕"),--(LEFT('Feature Matrix'!L10,1)="✕"),--(LEFT('Feature Matrix'!L11,1)="✕"),--(LEFT('Feature Matrix'!L12,1)="✕"),--(LEFT('Feature Matrix'!L13,1)="✕"),--(LEFT('Feature Matrix'!L14,1)="✕"),--(LEFT('Feature Matrix'!L15,1)="✕"),--(LEFT('Feature Matrix'!L16,1)="✕"),--(LEFT('Feature Matrix'!L17,1)="✕"),--(LEFT('Feature Matrix'!L18,1)="✕"),--(LEFT('Feature Matrix'!L19,1)="✕"),--(LEFT('Feature Matrix'!L20,1)="✕"),--(LEFT('Feature Matrix'!L21,1)="✕"),--(LEFT('Feature Matrix'!L22,1)="✕"),--(LEFT('Feature Matrix'!L23,1)="✕"),--(LEFT('Feature Matrix'!L24,1)="✕"),--(LEFT('Feature Matrix'!L25,1)="✕"),--(LEFT('Feature Matrix'!L26,1)="✕"),--(LEFT('Feature Matrix'!L27,1)="✕"),--(LEFT('Feature Matrix'!L28,1)="✕"),--(LEFT('Feature Matrix'!L29,1)="✕"),--(LEFT('Feature Matrix'!L30,1)="✕"),--(LEFT('Feature Matrix'!L31,1)="✕"),--(LEFT('Feature Matrix'!L32,1)="✕"),--(LEFT('Feature Matrix'!L33,1)="✕"),--(LEFT('Feature Matrix'!L34,1)="✕"),--(LEFT('Feature Matrix'!L35,1)="✕"),--(LEFT('Feature Matrix'!L36,1)="✕"),--(LEFT('Feature Matrix'!L37,1)="✕"),--(LEFT('Feature Matrix'!L38,1)="✕"),--(LEFT('Feature Matrix'!L39,1)="✕"),--(LEFT('Feature Matrix'!L40,1)="✕"),--(LEFT('Feature Matrix'!L41,1)="✕"),--(LEFT('Feature Matrix'!L42,1)="✕"),--(LEFT('Feature Matrix'!L43,1)="✕"),--(LEFT('Feature Matrix'!L44,1)="✕"),--(LEFT('Feature Matrix'!L45,1)="✕"),--(LEFT('Feature Matrix'!L46,1)="✕"),--(LEFT('Feature Matrix'!L47,1)="✕"),--(LEFT('Feature Matrix'!L48,1)="✕"),--(LEFT('Feature Matrix'!L49,1)="✕"),--(LEFT('Feature Matrix'!L50,1)="✕"),--(LEFT('Feature Matrix'!L51,1)="✕"),--(LEFT('Feature Matrix'!L52,1)="✕"),--(LEFT('Feature Matrix'!L53,1)="✕"),--(LEFT('Feature Matrix'!L54,1)="✕"),--(LEFT('Feature Matrix'!L55,1)="✕"),--(LEFT('Feature Matrix'!L56,1)="✕"),--(LEFT('Feature Matrix'!L57,1)="✕"),--(LEFT('Feature Matrix'!L58,1)="✕"),--(LEFT('Feature Matrix'!L59,1)="✕"),--(LEFT('Feature Matrix'!L60,1)="✕"),--(LEFT('Feature Matrix'!L61,1)="✕"),--(LEFT('Feature Matrix'!L62,1)="✕"),--(LEFT('Feature Matrix'!L63,1)="✕"),--(LEFT('Feature Matrix'!L64,1)="✕"),--(LEFT('Feature Matrix'!L65,1)="✕"),--(LEFT('Feature Matrix'!L66,1)="✕"),--(LEFT('Feature Matrix'!L67,1)="✕"),--(LEFT('Feature Matrix'!L68,1)="✕"),--(LEFT('Feature Matrix'!L69,1)="✕"),--(LEFT('Feature Matrix'!L70,1)="✕"))</x:f>
        <x:v>1</x:v>
      </x:c>
      <x:c r="E18" s="14" t="n">
        <x:f>66-B18-C18-D18</x:f>
        <x:v>18</x:v>
      </x:c>
      <x:c r="F18" s="18" t="n">
        <x:f>(B18+0.5*C18)/66</x:f>
        <x:v>0.6212121212121212</x:v>
      </x:c>
      <x:c r="H18" s="14" t="str">
        <x:v>0.1 — Semantic profile</x:v>
      </x:c>
      <x:c r="I18" s="14" t="str">
        <x:v>Vendor-neutral JSON/Protobuf event and control model over WebSocket</x:v>
      </x:c>
      <x:c r="J18" s="14" t="str">
        <x:v>Can prototype immediately against most vendors</x:v>
      </x:c>
    </x:row>
    <x:row r="19" ht="27" customHeight="1">
      <x:c r="A19" s="14" t="str">
        <x:v>Cartesia</x:v>
      </x:c>
      <x:c r="B19" s="14" t="n">
        <x:f>SUM(--(LEFT('Feature Matrix'!M5,1)="✓"),--(LEFT('Feature Matrix'!M6,1)="✓"),--(LEFT('Feature Matrix'!M7,1)="✓"),--(LEFT('Feature Matrix'!M8,1)="✓"),--(LEFT('Feature Matrix'!M9,1)="✓"),--(LEFT('Feature Matrix'!M10,1)="✓"),--(LEFT('Feature Matrix'!M11,1)="✓"),--(LEFT('Feature Matrix'!M12,1)="✓"),--(LEFT('Feature Matrix'!M13,1)="✓"),--(LEFT('Feature Matrix'!M14,1)="✓"),--(LEFT('Feature Matrix'!M15,1)="✓"),--(LEFT('Feature Matrix'!M16,1)="✓"),--(LEFT('Feature Matrix'!M17,1)="✓"),--(LEFT('Feature Matrix'!M18,1)="✓"),--(LEFT('Feature Matrix'!M19,1)="✓"),--(LEFT('Feature Matrix'!M20,1)="✓"),--(LEFT('Feature Matrix'!M21,1)="✓"),--(LEFT('Feature Matrix'!M22,1)="✓"),--(LEFT('Feature Matrix'!M23,1)="✓"),--(LEFT('Feature Matrix'!M24,1)="✓"),--(LEFT('Feature Matrix'!M25,1)="✓"),--(LEFT('Feature Matrix'!M26,1)="✓"),--(LEFT('Feature Matrix'!M27,1)="✓"),--(LEFT('Feature Matrix'!M28,1)="✓"),--(LEFT('Feature Matrix'!M29,1)="✓"),--(LEFT('Feature Matrix'!M30,1)="✓"),--(LEFT('Feature Matrix'!M31,1)="✓"),--(LEFT('Feature Matrix'!M32,1)="✓"),--(LEFT('Feature Matrix'!M33,1)="✓"),--(LEFT('Feature Matrix'!M34,1)="✓"),--(LEFT('Feature Matrix'!M35,1)="✓"),--(LEFT('Feature Matrix'!M36,1)="✓"),--(LEFT('Feature Matrix'!M37,1)="✓"),--(LEFT('Feature Matrix'!M38,1)="✓"),--(LEFT('Feature Matrix'!M39,1)="✓"),--(LEFT('Feature Matrix'!M40,1)="✓"),--(LEFT('Feature Matrix'!M41,1)="✓"),--(LEFT('Feature Matrix'!M42,1)="✓"),--(LEFT('Feature Matrix'!M43,1)="✓"),--(LEFT('Feature Matrix'!M44,1)="✓"),--(LEFT('Feature Matrix'!M45,1)="✓"),--(LEFT('Feature Matrix'!M46,1)="✓"),--(LEFT('Feature Matrix'!M47,1)="✓"),--(LEFT('Feature Matrix'!M48,1)="✓"),--(LEFT('Feature Matrix'!M49,1)="✓"),--(LEFT('Feature Matrix'!M50,1)="✓"),--(LEFT('Feature Matrix'!M51,1)="✓"),--(LEFT('Feature Matrix'!M52,1)="✓"),--(LEFT('Feature Matrix'!M53,1)="✓"),--(LEFT('Feature Matrix'!M54,1)="✓"),--(LEFT('Feature Matrix'!M55,1)="✓"),--(LEFT('Feature Matrix'!M56,1)="✓"),--(LEFT('Feature Matrix'!M57,1)="✓"),--(LEFT('Feature Matrix'!M58,1)="✓"),--(LEFT('Feature Matrix'!M59,1)="✓"),--(LEFT('Feature Matrix'!M60,1)="✓"),--(LEFT('Feature Matrix'!M61,1)="✓"),--(LEFT('Feature Matrix'!M62,1)="✓"),--(LEFT('Feature Matrix'!M63,1)="✓"),--(LEFT('Feature Matrix'!M64,1)="✓"),--(LEFT('Feature Matrix'!M65,1)="✓"),--(LEFT('Feature Matrix'!M66,1)="✓"),--(LEFT('Feature Matrix'!M67,1)="✓"),--(LEFT('Feature Matrix'!M68,1)="✓"),--(LEFT('Feature Matrix'!M69,1)="✓"),--(LEFT('Feature Matrix'!M70,1)="✓"))</x:f>
        <x:v>36</x:v>
      </x:c>
      <x:c r="C19" s="14" t="n">
        <x:f>SUM(--(LEFT('Feature Matrix'!M5,1)="△"),--(LEFT('Feature Matrix'!M6,1)="△"),--(LEFT('Feature Matrix'!M7,1)="△"),--(LEFT('Feature Matrix'!M8,1)="△"),--(LEFT('Feature Matrix'!M9,1)="△"),--(LEFT('Feature Matrix'!M10,1)="△"),--(LEFT('Feature Matrix'!M11,1)="△"),--(LEFT('Feature Matrix'!M12,1)="△"),--(LEFT('Feature Matrix'!M13,1)="△"),--(LEFT('Feature Matrix'!M14,1)="△"),--(LEFT('Feature Matrix'!M15,1)="△"),--(LEFT('Feature Matrix'!M16,1)="△"),--(LEFT('Feature Matrix'!M17,1)="△"),--(LEFT('Feature Matrix'!M18,1)="△"),--(LEFT('Feature Matrix'!M19,1)="△"),--(LEFT('Feature Matrix'!M20,1)="△"),--(LEFT('Feature Matrix'!M21,1)="△"),--(LEFT('Feature Matrix'!M22,1)="△"),--(LEFT('Feature Matrix'!M23,1)="△"),--(LEFT('Feature Matrix'!M24,1)="△"),--(LEFT('Feature Matrix'!M25,1)="△"),--(LEFT('Feature Matrix'!M26,1)="△"),--(LEFT('Feature Matrix'!M27,1)="△"),--(LEFT('Feature Matrix'!M28,1)="△"),--(LEFT('Feature Matrix'!M29,1)="△"),--(LEFT('Feature Matrix'!M30,1)="△"),--(LEFT('Feature Matrix'!M31,1)="△"),--(LEFT('Feature Matrix'!M32,1)="△"),--(LEFT('Feature Matrix'!M33,1)="△"),--(LEFT('Feature Matrix'!M34,1)="△"),--(LEFT('Feature Matrix'!M35,1)="△"),--(LEFT('Feature Matrix'!M36,1)="△"),--(LEFT('Feature Matrix'!M37,1)="△"),--(LEFT('Feature Matrix'!M38,1)="△"),--(LEFT('Feature Matrix'!M39,1)="△"),--(LEFT('Feature Matrix'!M40,1)="△"),--(LEFT('Feature Matrix'!M41,1)="△"),--(LEFT('Feature Matrix'!M42,1)="△"),--(LEFT('Feature Matrix'!M43,1)="△"),--(LEFT('Feature Matrix'!M44,1)="△"),--(LEFT('Feature Matrix'!M45,1)="△"),--(LEFT('Feature Matrix'!M46,1)="△"),--(LEFT('Feature Matrix'!M47,1)="△"),--(LEFT('Feature Matrix'!M48,1)="△"),--(LEFT('Feature Matrix'!M49,1)="△"),--(LEFT('Feature Matrix'!M50,1)="△"),--(LEFT('Feature Matrix'!M51,1)="△"),--(LEFT('Feature Matrix'!M52,1)="△"),--(LEFT('Feature Matrix'!M53,1)="△"),--(LEFT('Feature Matrix'!M54,1)="△"),--(LEFT('Feature Matrix'!M55,1)="△"),--(LEFT('Feature Matrix'!M56,1)="△"),--(LEFT('Feature Matrix'!M57,1)="△"),--(LEFT('Feature Matrix'!M58,1)="△"),--(LEFT('Feature Matrix'!M59,1)="△"),--(LEFT('Feature Matrix'!M60,1)="△"),--(LEFT('Feature Matrix'!M61,1)="△"),--(LEFT('Feature Matrix'!M62,1)="△"),--(LEFT('Feature Matrix'!M63,1)="△"),--(LEFT('Feature Matrix'!M64,1)="△"),--(LEFT('Feature Matrix'!M65,1)="△"),--(LEFT('Feature Matrix'!M66,1)="△"),--(LEFT('Feature Matrix'!M67,1)="△"),--(LEFT('Feature Matrix'!M68,1)="△"),--(LEFT('Feature Matrix'!M69,1)="△"),--(LEFT('Feature Matrix'!M70,1)="△"))</x:f>
        <x:v>4</x:v>
      </x:c>
      <x:c r="D19" s="14" t="n">
        <x:f>SUM(--(LEFT('Feature Matrix'!M5,1)="✕"),--(LEFT('Feature Matrix'!M6,1)="✕"),--(LEFT('Feature Matrix'!M7,1)="✕"),--(LEFT('Feature Matrix'!M8,1)="✕"),--(LEFT('Feature Matrix'!M9,1)="✕"),--(LEFT('Feature Matrix'!M10,1)="✕"),--(LEFT('Feature Matrix'!M11,1)="✕"),--(LEFT('Feature Matrix'!M12,1)="✕"),--(LEFT('Feature Matrix'!M13,1)="✕"),--(LEFT('Feature Matrix'!M14,1)="✕"),--(LEFT('Feature Matrix'!M15,1)="✕"),--(LEFT('Feature Matrix'!M16,1)="✕"),--(LEFT('Feature Matrix'!M17,1)="✕"),--(LEFT('Feature Matrix'!M18,1)="✕"),--(LEFT('Feature Matrix'!M19,1)="✕"),--(LEFT('Feature Matrix'!M20,1)="✕"),--(LEFT('Feature Matrix'!M21,1)="✕"),--(LEFT('Feature Matrix'!M22,1)="✕"),--(LEFT('Feature Matrix'!M23,1)="✕"),--(LEFT('Feature Matrix'!M24,1)="✕"),--(LEFT('Feature Matrix'!M25,1)="✕"),--(LEFT('Feature Matrix'!M26,1)="✕"),--(LEFT('Feature Matrix'!M27,1)="✕"),--(LEFT('Feature Matrix'!M28,1)="✕"),--(LEFT('Feature Matrix'!M29,1)="✕"),--(LEFT('Feature Matrix'!M30,1)="✕"),--(LEFT('Feature Matrix'!M31,1)="✕"),--(LEFT('Feature Matrix'!M32,1)="✕"),--(LEFT('Feature Matrix'!M33,1)="✕"),--(LEFT('Feature Matrix'!M34,1)="✕"),--(LEFT('Feature Matrix'!M35,1)="✕"),--(LEFT('Feature Matrix'!M36,1)="✕"),--(LEFT('Feature Matrix'!M37,1)="✕"),--(LEFT('Feature Matrix'!M38,1)="✕"),--(LEFT('Feature Matrix'!M39,1)="✕"),--(LEFT('Feature Matrix'!M40,1)="✕"),--(LEFT('Feature Matrix'!M41,1)="✕"),--(LEFT('Feature Matrix'!M42,1)="✕"),--(LEFT('Feature Matrix'!M43,1)="✕"),--(LEFT('Feature Matrix'!M44,1)="✕"),--(LEFT('Feature Matrix'!M45,1)="✕"),--(LEFT('Feature Matrix'!M46,1)="✕"),--(LEFT('Feature Matrix'!M47,1)="✕"),--(LEFT('Feature Matrix'!M48,1)="✕"),--(LEFT('Feature Matrix'!M49,1)="✕"),--(LEFT('Feature Matrix'!M50,1)="✕"),--(LEFT('Feature Matrix'!M51,1)="✕"),--(LEFT('Feature Matrix'!M52,1)="✕"),--(LEFT('Feature Matrix'!M53,1)="✕"),--(LEFT('Feature Matrix'!M54,1)="✕"),--(LEFT('Feature Matrix'!M55,1)="✕"),--(LEFT('Feature Matrix'!M56,1)="✕"),--(LEFT('Feature Matrix'!M57,1)="✕"),--(LEFT('Feature Matrix'!M58,1)="✕"),--(LEFT('Feature Matrix'!M59,1)="✕"),--(LEFT('Feature Matrix'!M60,1)="✕"),--(LEFT('Feature Matrix'!M61,1)="✕"),--(LEFT('Feature Matrix'!M62,1)="✕"),--(LEFT('Feature Matrix'!M63,1)="✕"),--(LEFT('Feature Matrix'!M64,1)="✕"),--(LEFT('Feature Matrix'!M65,1)="✕"),--(LEFT('Feature Matrix'!M66,1)="✕"),--(LEFT('Feature Matrix'!M67,1)="✕"),--(LEFT('Feature Matrix'!M68,1)="✕"),--(LEFT('Feature Matrix'!M69,1)="✕"),--(LEFT('Feature Matrix'!M70,1)="✕"))</x:f>
        <x:v>1</x:v>
      </x:c>
      <x:c r="E19" s="14" t="n">
        <x:f>66-B19-C19-D19</x:f>
        <x:v>25</x:v>
      </x:c>
      <x:c r="F19" s="18" t="n">
        <x:f>(B19+0.5*C19)/66</x:f>
        <x:v>0.5757575757575758</x:v>
      </x:c>
      <x:c r="H19" s="14" t="str">
        <x:v>0.2 — Conformance</x:v>
      </x:c>
      <x:c r="I19" s="14" t="str">
        <x:v>Golden traces, event-state machine, error taxonomy, codec fixtures</x:v>
      </x:c>
      <x:c r="J19" s="14" t="str">
        <x:v>Prevents nominal compatibility with divergent semantics</x:v>
      </x:c>
    </x:row>
    <x:row r="20" ht="27" customHeight="1">
      <x:c r="A20" s="14" t="str">
        <x:v>Google Cloud</x:v>
      </x:c>
      <x:c r="B20" s="14" t="n">
        <x:f>SUM(--(LEFT('Feature Matrix'!N5,1)="✓"),--(LEFT('Feature Matrix'!N6,1)="✓"),--(LEFT('Feature Matrix'!N7,1)="✓"),--(LEFT('Feature Matrix'!N8,1)="✓"),--(LEFT('Feature Matrix'!N9,1)="✓"),--(LEFT('Feature Matrix'!N10,1)="✓"),--(LEFT('Feature Matrix'!N11,1)="✓"),--(LEFT('Feature Matrix'!N12,1)="✓"),--(LEFT('Feature Matrix'!N13,1)="✓"),--(LEFT('Feature Matrix'!N14,1)="✓"),--(LEFT('Feature Matrix'!N15,1)="✓"),--(LEFT('Feature Matrix'!N16,1)="✓"),--(LEFT('Feature Matrix'!N17,1)="✓"),--(LEFT('Feature Matrix'!N18,1)="✓"),--(LEFT('Feature Matrix'!N19,1)="✓"),--(LEFT('Feature Matrix'!N20,1)="✓"),--(LEFT('Feature Matrix'!N21,1)="✓"),--(LEFT('Feature Matrix'!N22,1)="✓"),--(LEFT('Feature Matrix'!N23,1)="✓"),--(LEFT('Feature Matrix'!N24,1)="✓"),--(LEFT('Feature Matrix'!N25,1)="✓"),--(LEFT('Feature Matrix'!N26,1)="✓"),--(LEFT('Feature Matrix'!N27,1)="✓"),--(LEFT('Feature Matrix'!N28,1)="✓"),--(LEFT('Feature Matrix'!N29,1)="✓"),--(LEFT('Feature Matrix'!N30,1)="✓"),--(LEFT('Feature Matrix'!N31,1)="✓"),--(LEFT('Feature Matrix'!N32,1)="✓"),--(LEFT('Feature Matrix'!N33,1)="✓"),--(LEFT('Feature Matrix'!N34,1)="✓"),--(LEFT('Feature Matrix'!N35,1)="✓"),--(LEFT('Feature Matrix'!N36,1)="✓"),--(LEFT('Feature Matrix'!N37,1)="✓"),--(LEFT('Feature Matrix'!N38,1)="✓"),--(LEFT('Feature Matrix'!N39,1)="✓"),--(LEFT('Feature Matrix'!N40,1)="✓"),--(LEFT('Feature Matrix'!N41,1)="✓"),--(LEFT('Feature Matrix'!N42,1)="✓"),--(LEFT('Feature Matrix'!N43,1)="✓"),--(LEFT('Feature Matrix'!N44,1)="✓"),--(LEFT('Feature Matrix'!N45,1)="✓"),--(LEFT('Feature Matrix'!N46,1)="✓"),--(LEFT('Feature Matrix'!N47,1)="✓"),--(LEFT('Feature Matrix'!N48,1)="✓"),--(LEFT('Feature Matrix'!N49,1)="✓"),--(LEFT('Feature Matrix'!N50,1)="✓"),--(LEFT('Feature Matrix'!N51,1)="✓"),--(LEFT('Feature Matrix'!N52,1)="✓"),--(LEFT('Feature Matrix'!N53,1)="✓"),--(LEFT('Feature Matrix'!N54,1)="✓"),--(LEFT('Feature Matrix'!N55,1)="✓"),--(LEFT('Feature Matrix'!N56,1)="✓"),--(LEFT('Feature Matrix'!N57,1)="✓"),--(LEFT('Feature Matrix'!N58,1)="✓"),--(LEFT('Feature Matrix'!N59,1)="✓"),--(LEFT('Feature Matrix'!N60,1)="✓"),--(LEFT('Feature Matrix'!N61,1)="✓"),--(LEFT('Feature Matrix'!N62,1)="✓"),--(LEFT('Feature Matrix'!N63,1)="✓"),--(LEFT('Feature Matrix'!N64,1)="✓"),--(LEFT('Feature Matrix'!N65,1)="✓"),--(LEFT('Feature Matrix'!N66,1)="✓"),--(LEFT('Feature Matrix'!N67,1)="✓"),--(LEFT('Feature Matrix'!N68,1)="✓"),--(LEFT('Feature Matrix'!N69,1)="✓"),--(LEFT('Feature Matrix'!N70,1)="✓"))</x:f>
        <x:v>43</x:v>
      </x:c>
      <x:c r="C20" s="14" t="n">
        <x:f>SUM(--(LEFT('Feature Matrix'!N5,1)="△"),--(LEFT('Feature Matrix'!N6,1)="△"),--(LEFT('Feature Matrix'!N7,1)="△"),--(LEFT('Feature Matrix'!N8,1)="△"),--(LEFT('Feature Matrix'!N9,1)="△"),--(LEFT('Feature Matrix'!N10,1)="△"),--(LEFT('Feature Matrix'!N11,1)="△"),--(LEFT('Feature Matrix'!N12,1)="△"),--(LEFT('Feature Matrix'!N13,1)="△"),--(LEFT('Feature Matrix'!N14,1)="△"),--(LEFT('Feature Matrix'!N15,1)="△"),--(LEFT('Feature Matrix'!N16,1)="△"),--(LEFT('Feature Matrix'!N17,1)="△"),--(LEFT('Feature Matrix'!N18,1)="△"),--(LEFT('Feature Matrix'!N19,1)="△"),--(LEFT('Feature Matrix'!N20,1)="△"),--(LEFT('Feature Matrix'!N21,1)="△"),--(LEFT('Feature Matrix'!N22,1)="△"),--(LEFT('Feature Matrix'!N23,1)="△"),--(LEFT('Feature Matrix'!N24,1)="△"),--(LEFT('Feature Matrix'!N25,1)="△"),--(LEFT('Feature Matrix'!N26,1)="△"),--(LEFT('Feature Matrix'!N27,1)="△"),--(LEFT('Feature Matrix'!N28,1)="△"),--(LEFT('Feature Matrix'!N29,1)="△"),--(LEFT('Feature Matrix'!N30,1)="△"),--(LEFT('Feature Matrix'!N31,1)="△"),--(LEFT('Feature Matrix'!N32,1)="△"),--(LEFT('Feature Matrix'!N33,1)="△"),--(LEFT('Feature Matrix'!N34,1)="△"),--(LEFT('Feature Matrix'!N35,1)="△"),--(LEFT('Feature Matrix'!N36,1)="△"),--(LEFT('Feature Matrix'!N37,1)="△"),--(LEFT('Feature Matrix'!N38,1)="△"),--(LEFT('Feature Matrix'!N39,1)="△"),--(LEFT('Feature Matrix'!N40,1)="△"),--(LEFT('Feature Matrix'!N41,1)="△"),--(LEFT('Feature Matrix'!N42,1)="△"),--(LEFT('Feature Matrix'!N43,1)="△"),--(LEFT('Feature Matrix'!N44,1)="△"),--(LEFT('Feature Matrix'!N45,1)="△"),--(LEFT('Feature Matrix'!N46,1)="△"),--(LEFT('Feature Matrix'!N47,1)="△"),--(LEFT('Feature Matrix'!N48,1)="△"),--(LEFT('Feature Matrix'!N49,1)="△"),--(LEFT('Feature Matrix'!N50,1)="△"),--(LEFT('Feature Matrix'!N51,1)="△"),--(LEFT('Feature Matrix'!N52,1)="△"),--(LEFT('Feature Matrix'!N53,1)="△"),--(LEFT('Feature Matrix'!N54,1)="△"),--(LEFT('Feature Matrix'!N55,1)="△"),--(LEFT('Feature Matrix'!N56,1)="△"),--(LEFT('Feature Matrix'!N57,1)="△"),--(LEFT('Feature Matrix'!N58,1)="△"),--(LEFT('Feature Matrix'!N59,1)="△"),--(LEFT('Feature Matrix'!N60,1)="△"),--(LEFT('Feature Matrix'!N61,1)="△"),--(LEFT('Feature Matrix'!N62,1)="△"),--(LEFT('Feature Matrix'!N63,1)="△"),--(LEFT('Feature Matrix'!N64,1)="△"),--(LEFT('Feature Matrix'!N65,1)="△"),--(LEFT('Feature Matrix'!N66,1)="△"),--(LEFT('Feature Matrix'!N67,1)="△"),--(LEFT('Feature Matrix'!N68,1)="△"),--(LEFT('Feature Matrix'!N69,1)="△"),--(LEFT('Feature Matrix'!N70,1)="△"))</x:f>
        <x:v>8</x:v>
      </x:c>
      <x:c r="D20" s="14" t="n">
        <x:f>SUM(--(LEFT('Feature Matrix'!N5,1)="✕"),--(LEFT('Feature Matrix'!N6,1)="✕"),--(LEFT('Feature Matrix'!N7,1)="✕"),--(LEFT('Feature Matrix'!N8,1)="✕"),--(LEFT('Feature Matrix'!N9,1)="✕"),--(LEFT('Feature Matrix'!N10,1)="✕"),--(LEFT('Feature Matrix'!N11,1)="✕"),--(LEFT('Feature Matrix'!N12,1)="✕"),--(LEFT('Feature Matrix'!N13,1)="✕"),--(LEFT('Feature Matrix'!N14,1)="✕"),--(LEFT('Feature Matrix'!N15,1)="✕"),--(LEFT('Feature Matrix'!N16,1)="✕"),--(LEFT('Feature Matrix'!N17,1)="✕"),--(LEFT('Feature Matrix'!N18,1)="✕"),--(LEFT('Feature Matrix'!N19,1)="✕"),--(LEFT('Feature Matrix'!N20,1)="✕"),--(LEFT('Feature Matrix'!N21,1)="✕"),--(LEFT('Feature Matrix'!N22,1)="✕"),--(LEFT('Feature Matrix'!N23,1)="✕"),--(LEFT('Feature Matrix'!N24,1)="✕"),--(LEFT('Feature Matrix'!N25,1)="✕"),--(LEFT('Feature Matrix'!N26,1)="✕"),--(LEFT('Feature Matrix'!N27,1)="✕"),--(LEFT('Feature Matrix'!N28,1)="✕"),--(LEFT('Feature Matrix'!N29,1)="✕"),--(LEFT('Feature Matrix'!N30,1)="✕"),--(LEFT('Feature Matrix'!N31,1)="✕"),--(LEFT('Feature Matrix'!N32,1)="✕"),--(LEFT('Feature Matrix'!N33,1)="✕"),--(LEFT('Feature Matrix'!N34,1)="✕"),--(LEFT('Feature Matrix'!N35,1)="✕"),--(LEFT('Feature Matrix'!N36,1)="✕"),--(LEFT('Feature Matrix'!N37,1)="✕"),--(LEFT('Feature Matrix'!N38,1)="✕"),--(LEFT('Feature Matrix'!N39,1)="✕"),--(LEFT('Feature Matrix'!N40,1)="✕"),--(LEFT('Feature Matrix'!N41,1)="✕"),--(LEFT('Feature Matrix'!N42,1)="✕"),--(LEFT('Feature Matrix'!N43,1)="✕"),--(LEFT('Feature Matrix'!N44,1)="✕"),--(LEFT('Feature Matrix'!N45,1)="✕"),--(LEFT('Feature Matrix'!N46,1)="✕"),--(LEFT('Feature Matrix'!N47,1)="✕"),--(LEFT('Feature Matrix'!N48,1)="✕"),--(LEFT('Feature Matrix'!N49,1)="✕"),--(LEFT('Feature Matrix'!N50,1)="✕"),--(LEFT('Feature Matrix'!N51,1)="✕"),--(LEFT('Feature Matrix'!N52,1)="✕"),--(LEFT('Feature Matrix'!N53,1)="✕"),--(LEFT('Feature Matrix'!N54,1)="✕"),--(LEFT('Feature Matrix'!N55,1)="✕"),--(LEFT('Feature Matrix'!N56,1)="✕"),--(LEFT('Feature Matrix'!N57,1)="✕"),--(LEFT('Feature Matrix'!N58,1)="✕"),--(LEFT('Feature Matrix'!N59,1)="✕"),--(LEFT('Feature Matrix'!N60,1)="✕"),--(LEFT('Feature Matrix'!N61,1)="✕"),--(LEFT('Feature Matrix'!N62,1)="✕"),--(LEFT('Feature Matrix'!N63,1)="✕"),--(LEFT('Feature Matrix'!N64,1)="✕"),--(LEFT('Feature Matrix'!N65,1)="✕"),--(LEFT('Feature Matrix'!N66,1)="✕"),--(LEFT('Feature Matrix'!N67,1)="✕"),--(LEFT('Feature Matrix'!N68,1)="✕"),--(LEFT('Feature Matrix'!N69,1)="✕"),--(LEFT('Feature Matrix'!N70,1)="✕"))</x:f>
        <x:v>0</x:v>
      </x:c>
      <x:c r="E20" s="14" t="n">
        <x:f>66-B20-C20-D20</x:f>
        <x:v>15</x:v>
      </x:c>
      <x:c r="F20" s="18" t="n">
        <x:f>(B20+0.5*C20)/66</x:f>
        <x:v>0.7121212121212122</x:v>
      </x:c>
      <x:c r="H20" s="14" t="str">
        <x:v>0.3 — QUIC binding</x:v>
      </x:c>
      <x:c r="I20" s="14" t="str">
        <x:v>Reliable control/result streams + QUIC DATAGRAM audio</x:v>
      </x:c>
      <x:c r="J20" s="14" t="str">
        <x:v>Addresses TCP head-of-line delay without raw-UDP tradeoffs</x:v>
      </x:c>
    </x:row>
    <x:row r="21" ht="27" customHeight="1">
      <x:c r="A21" s="14" t="str">
        <x:v>Azure Speech</x:v>
      </x:c>
      <x:c r="B21" s="14" t="n">
        <x:f>SUM(--(LEFT('Feature Matrix'!O5,1)="✓"),--(LEFT('Feature Matrix'!O6,1)="✓"),--(LEFT('Feature Matrix'!O7,1)="✓"),--(LEFT('Feature Matrix'!O8,1)="✓"),--(LEFT('Feature Matrix'!O9,1)="✓"),--(LEFT('Feature Matrix'!O10,1)="✓"),--(LEFT('Feature Matrix'!O11,1)="✓"),--(LEFT('Feature Matrix'!O12,1)="✓"),--(LEFT('Feature Matrix'!O13,1)="✓"),--(LEFT('Feature Matrix'!O14,1)="✓"),--(LEFT('Feature Matrix'!O15,1)="✓"),--(LEFT('Feature Matrix'!O16,1)="✓"),--(LEFT('Feature Matrix'!O17,1)="✓"),--(LEFT('Feature Matrix'!O18,1)="✓"),--(LEFT('Feature Matrix'!O19,1)="✓"),--(LEFT('Feature Matrix'!O20,1)="✓"),--(LEFT('Feature Matrix'!O21,1)="✓"),--(LEFT('Feature Matrix'!O22,1)="✓"),--(LEFT('Feature Matrix'!O23,1)="✓"),--(LEFT('Feature Matrix'!O24,1)="✓"),--(LEFT('Feature Matrix'!O25,1)="✓"),--(LEFT('Feature Matrix'!O26,1)="✓"),--(LEFT('Feature Matrix'!O27,1)="✓"),--(LEFT('Feature Matrix'!O28,1)="✓"),--(LEFT('Feature Matrix'!O29,1)="✓"),--(LEFT('Feature Matrix'!O30,1)="✓"),--(LEFT('Feature Matrix'!O31,1)="✓"),--(LEFT('Feature Matrix'!O32,1)="✓"),--(LEFT('Feature Matrix'!O33,1)="✓"),--(LEFT('Feature Matrix'!O34,1)="✓"),--(LEFT('Feature Matrix'!O35,1)="✓"),--(LEFT('Feature Matrix'!O36,1)="✓"),--(LEFT('Feature Matrix'!O37,1)="✓"),--(LEFT('Feature Matrix'!O38,1)="✓"),--(LEFT('Feature Matrix'!O39,1)="✓"),--(LEFT('Feature Matrix'!O40,1)="✓"),--(LEFT('Feature Matrix'!O41,1)="✓"),--(LEFT('Feature Matrix'!O42,1)="✓"),--(LEFT('Feature Matrix'!O43,1)="✓"),--(LEFT('Feature Matrix'!O44,1)="✓"),--(LEFT('Feature Matrix'!O45,1)="✓"),--(LEFT('Feature Matrix'!O46,1)="✓"),--(LEFT('Feature Matrix'!O47,1)="✓"),--(LEFT('Feature Matrix'!O48,1)="✓"),--(LEFT('Feature Matrix'!O49,1)="✓"),--(LEFT('Feature Matrix'!O50,1)="✓"),--(LEFT('Feature Matrix'!O51,1)="✓"),--(LEFT('Feature Matrix'!O52,1)="✓"),--(LEFT('Feature Matrix'!O53,1)="✓"),--(LEFT('Feature Matrix'!O54,1)="✓"),--(LEFT('Feature Matrix'!O55,1)="✓"),--(LEFT('Feature Matrix'!O56,1)="✓"),--(LEFT('Feature Matrix'!O57,1)="✓"),--(LEFT('Feature Matrix'!O58,1)="✓"),--(LEFT('Feature Matrix'!O59,1)="✓"),--(LEFT('Feature Matrix'!O60,1)="✓"),--(LEFT('Feature Matrix'!O61,1)="✓"),--(LEFT('Feature Matrix'!O62,1)="✓"),--(LEFT('Feature Matrix'!O63,1)="✓"),--(LEFT('Feature Matrix'!O64,1)="✓"),--(LEFT('Feature Matrix'!O65,1)="✓"),--(LEFT('Feature Matrix'!O66,1)="✓"),--(LEFT('Feature Matrix'!O67,1)="✓"),--(LEFT('Feature Matrix'!O68,1)="✓"),--(LEFT('Feature Matrix'!O69,1)="✓"),--(LEFT('Feature Matrix'!O70,1)="✓"))</x:f>
        <x:v>41</x:v>
      </x:c>
      <x:c r="C21" s="14" t="n">
        <x:f>SUM(--(LEFT('Feature Matrix'!O5,1)="△"),--(LEFT('Feature Matrix'!O6,1)="△"),--(LEFT('Feature Matrix'!O7,1)="△"),--(LEFT('Feature Matrix'!O8,1)="△"),--(LEFT('Feature Matrix'!O9,1)="△"),--(LEFT('Feature Matrix'!O10,1)="△"),--(LEFT('Feature Matrix'!O11,1)="△"),--(LEFT('Feature Matrix'!O12,1)="△"),--(LEFT('Feature Matrix'!O13,1)="△"),--(LEFT('Feature Matrix'!O14,1)="△"),--(LEFT('Feature Matrix'!O15,1)="△"),--(LEFT('Feature Matrix'!O16,1)="△"),--(LEFT('Feature Matrix'!O17,1)="△"),--(LEFT('Feature Matrix'!O18,1)="△"),--(LEFT('Feature Matrix'!O19,1)="△"),--(LEFT('Feature Matrix'!O20,1)="△"),--(LEFT('Feature Matrix'!O21,1)="△"),--(LEFT('Feature Matrix'!O22,1)="△"),--(LEFT('Feature Matrix'!O23,1)="△"),--(LEFT('Feature Matrix'!O24,1)="△"),--(LEFT('Feature Matrix'!O25,1)="△"),--(LEFT('Feature Matrix'!O26,1)="△"),--(LEFT('Feature Matrix'!O27,1)="△"),--(LEFT('Feature Matrix'!O28,1)="△"),--(LEFT('Feature Matrix'!O29,1)="△"),--(LEFT('Feature Matrix'!O30,1)="△"),--(LEFT('Feature Matrix'!O31,1)="△"),--(LEFT('Feature Matrix'!O32,1)="△"),--(LEFT('Feature Matrix'!O33,1)="△"),--(LEFT('Feature Matrix'!O34,1)="△"),--(LEFT('Feature Matrix'!O35,1)="△"),--(LEFT('Feature Matrix'!O36,1)="△"),--(LEFT('Feature Matrix'!O37,1)="△"),--(LEFT('Feature Matrix'!O38,1)="△"),--(LEFT('Feature Matrix'!O39,1)="△"),--(LEFT('Feature Matrix'!O40,1)="△"),--(LEFT('Feature Matrix'!O41,1)="△"),--(LEFT('Feature Matrix'!O42,1)="△"),--(LEFT('Feature Matrix'!O43,1)="△"),--(LEFT('Feature Matrix'!O44,1)="△"),--(LEFT('Feature Matrix'!O45,1)="△"),--(LEFT('Feature Matrix'!O46,1)="△"),--(LEFT('Feature Matrix'!O47,1)="△"),--(LEFT('Feature Matrix'!O48,1)="△"),--(LEFT('Feature Matrix'!O49,1)="△"),--(LEFT('Feature Matrix'!O50,1)="△"),--(LEFT('Feature Matrix'!O51,1)="△"),--(LEFT('Feature Matrix'!O52,1)="△"),--(LEFT('Feature Matrix'!O53,1)="△"),--(LEFT('Feature Matrix'!O54,1)="△"),--(LEFT('Feature Matrix'!O55,1)="△"),--(LEFT('Feature Matrix'!O56,1)="△"),--(LEFT('Feature Matrix'!O57,1)="△"),--(LEFT('Feature Matrix'!O58,1)="△"),--(LEFT('Feature Matrix'!O59,1)="△"),--(LEFT('Feature Matrix'!O60,1)="△"),--(LEFT('Feature Matrix'!O61,1)="△"),--(LEFT('Feature Matrix'!O62,1)="△"),--(LEFT('Feature Matrix'!O63,1)="△"),--(LEFT('Feature Matrix'!O64,1)="△"),--(LEFT('Feature Matrix'!O65,1)="△"),--(LEFT('Feature Matrix'!O66,1)="△"),--(LEFT('Feature Matrix'!O67,1)="△"),--(LEFT('Feature Matrix'!O68,1)="△"),--(LEFT('Feature Matrix'!O69,1)="△"),--(LEFT('Feature Matrix'!O70,1)="△"))</x:f>
        <x:v>15</x:v>
      </x:c>
      <x:c r="D21" s="14" t="n">
        <x:f>SUM(--(LEFT('Feature Matrix'!O5,1)="✕"),--(LEFT('Feature Matrix'!O6,1)="✕"),--(LEFT('Feature Matrix'!O7,1)="✕"),--(LEFT('Feature Matrix'!O8,1)="✕"),--(LEFT('Feature Matrix'!O9,1)="✕"),--(LEFT('Feature Matrix'!O10,1)="✕"),--(LEFT('Feature Matrix'!O11,1)="✕"),--(LEFT('Feature Matrix'!O12,1)="✕"),--(LEFT('Feature Matrix'!O13,1)="✕"),--(LEFT('Feature Matrix'!O14,1)="✕"),--(LEFT('Feature Matrix'!O15,1)="✕"),--(LEFT('Feature Matrix'!O16,1)="✕"),--(LEFT('Feature Matrix'!O17,1)="✕"),--(LEFT('Feature Matrix'!O18,1)="✕"),--(LEFT('Feature Matrix'!O19,1)="✕"),--(LEFT('Feature Matrix'!O20,1)="✕"),--(LEFT('Feature Matrix'!O21,1)="✕"),--(LEFT('Feature Matrix'!O22,1)="✕"),--(LEFT('Feature Matrix'!O23,1)="✕"),--(LEFT('Feature Matrix'!O24,1)="✕"),--(LEFT('Feature Matrix'!O25,1)="✕"),--(LEFT('Feature Matrix'!O26,1)="✕"),--(LEFT('Feature Matrix'!O27,1)="✕"),--(LEFT('Feature Matrix'!O28,1)="✕"),--(LEFT('Feature Matrix'!O29,1)="✕"),--(LEFT('Feature Matrix'!O30,1)="✕"),--(LEFT('Feature Matrix'!O31,1)="✕"),--(LEFT('Feature Matrix'!O32,1)="✕"),--(LEFT('Feature Matrix'!O33,1)="✕"),--(LEFT('Feature Matrix'!O34,1)="✕"),--(LEFT('Feature Matrix'!O35,1)="✕"),--(LEFT('Feature Matrix'!O36,1)="✕"),--(LEFT('Feature Matrix'!O37,1)="✕"),--(LEFT('Feature Matrix'!O38,1)="✕"),--(LEFT('Feature Matrix'!O39,1)="✕"),--(LEFT('Feature Matrix'!O40,1)="✕"),--(LEFT('Feature Matrix'!O41,1)="✕"),--(LEFT('Feature Matrix'!O42,1)="✕"),--(LEFT('Feature Matrix'!O43,1)="✕"),--(LEFT('Feature Matrix'!O44,1)="✕"),--(LEFT('Feature Matrix'!O45,1)="✕"),--(LEFT('Feature Matrix'!O46,1)="✕"),--(LEFT('Feature Matrix'!O47,1)="✕"),--(LEFT('Feature Matrix'!O48,1)="✕"),--(LEFT('Feature Matrix'!O49,1)="✕"),--(LEFT('Feature Matrix'!O50,1)="✕"),--(LEFT('Feature Matrix'!O51,1)="✕"),--(LEFT('Feature Matrix'!O52,1)="✕"),--(LEFT('Feature Matrix'!O53,1)="✕"),--(LEFT('Feature Matrix'!O54,1)="✕"),--(LEFT('Feature Matrix'!O55,1)="✕"),--(LEFT('Feature Matrix'!O56,1)="✕"),--(LEFT('Feature Matrix'!O57,1)="✕"),--(LEFT('Feature Matrix'!O58,1)="✕"),--(LEFT('Feature Matrix'!O59,1)="✕"),--(LEFT('Feature Matrix'!O60,1)="✕"),--(LEFT('Feature Matrix'!O61,1)="✕"),--(LEFT('Feature Matrix'!O62,1)="✕"),--(LEFT('Feature Matrix'!O63,1)="✕"),--(LEFT('Feature Matrix'!O64,1)="✕"),--(LEFT('Feature Matrix'!O65,1)="✕"),--(LEFT('Feature Matrix'!O66,1)="✕"),--(LEFT('Feature Matrix'!O67,1)="✕"),--(LEFT('Feature Matrix'!O68,1)="✕"),--(LEFT('Feature Matrix'!O69,1)="✕"),--(LEFT('Feature Matrix'!O70,1)="✕"))</x:f>
        <x:v>0</x:v>
      </x:c>
      <x:c r="E21" s="14" t="n">
        <x:f>66-B21-C21-D21</x:f>
        <x:v>10</x:v>
      </x:c>
      <x:c r="F21" s="18" t="n">
        <x:f>(B21+0.5*C21)/66</x:f>
        <x:v>0.7348484848484849</x:v>
      </x:c>
      <x:c r="H21" s="14" t="str">
        <x:v>0.4 — Telephony binding</x:v>
      </x:c>
      <x:c r="I21" s="14" t="str">
        <x:v>RTP/SRTP and SIP/MRCP interworking profile</x:v>
      </x:c>
      <x:c r="J21" s="14" t="str">
        <x:v>Connects PSTN/CCaaS deployments and existing media infrastructure</x:v>
      </x:c>
    </x:row>
    <x:row r="22" ht="27" customHeight="1"/>
    <x:row r="23" ht="27" customHeight="1"/>
    <x:row r="24" ht="27" customHeight="1">
      <x:c r="A24" s="23" t="str">
        <x:v>Method</x:v>
      </x:c>
      <x:c r="B24" s="14" t="str">
        <x:v>This is a documentation-based interoperability map, not a latency/accuracy benchmark. “Native” requires documented support in the provider's public ASR/STT surface; adjacent agent/translation products are marked limited.</x:v>
      </x:c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</x:row>
    <x:row r="25" ht="27" customHeight="1">
      <x:c r="A25" s="23" t="str">
        <x:v>Freshness</x:v>
      </x:c>
      <x:c r="B25" s="14" t="str">
        <x:v>API surfaces change quickly. Evidence links and review date are in the Evidence tab; verify before procurement or protocol commitments.</x:v>
      </x:c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</x:row>
    <x:row r="26" ht="27" customHeight="1">
      <x:c r="A26" s="23" t="str">
        <x:v>Transport thesis</x:v>
      </x:c>
      <x:c r="B26" s="14" t="str">
        <x:v>Raw UDP is intentionally not recommended: it lacks standardized security, congestion control, browser reach, and NAT behavior. QUIC DATAGRAM supplies loss-tolerant media while retaining TLS 1.3, congestion control, connection migration, and multiplexed reliable streams.</x:v>
      </x:c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</x:row>
    <x:row r="27" ht="27" customHeight="1">
      <x:c r="A27" s="23" t="str">
        <x:v>Reading order</x:v>
      </x:c>
      <x:c r="B27" s="14" t="str">
        <x:v>Start with Feature Matrix, then Transport Detail, then Proposed Standard. Evidence is the audit trail.</x:v>
      </x:c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24:J24"/>
    <x:mergeCell ref="B25:J25"/>
    <x:mergeCell ref="B26:J26"/>
    <x:mergeCell ref="B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2.780000686645508" hidden="0" customWidth="1"/>
    <x:col min="3" max="3" width="13.890000343322754" hidden="0" customWidth="1"/>
    <x:col min="4" max="4" width="8.670000076293945" hidden="0" customWidth="1"/>
    <x:col min="5" max="5" width="8.67000007629394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28.5" customHeight="1">
      <x:c r="A1" s="3" t="str">
        <x:v>Feature Matrix</x:v>
      </x:c>
      <x:c r="B1" s="3" t="str">
        <x:v>Feature Matrix</x:v>
      </x:c>
      <x:c r="C1" s="3" t="str">
        <x:v>Feature Matrix</x:v>
      </x:c>
      <x:c r="D1" s="3" t="str">
        <x:v>Feature Matrix</x:v>
      </x:c>
      <x:c r="E1" s="3" t="str">
        <x:v>Feature Matrix</x:v>
      </x:c>
      <x:c r="F1" s="3" t="str">
        <x:v>Feature Matrix</x:v>
      </x:c>
      <x:c r="G1" s="3" t="str">
        <x:v>Feature Matrix</x:v>
      </x:c>
      <x:c r="H1" s="3" t="str">
        <x:v>Feature Matrix</x:v>
      </x:c>
      <x:c r="I1" s="3" t="str">
        <x:v>Feature Matrix</x:v>
      </x:c>
      <x:c r="J1" s="3" t="str">
        <x:v>Feature Matrix</x:v>
      </x:c>
      <x:c r="K1" s="3" t="str">
        <x:v>Feature Matrix</x:v>
      </x:c>
      <x:c r="L1" s="3" t="str">
        <x:v>Feature Matrix</x:v>
      </x:c>
      <x:c r="M1" s="3" t="str">
        <x:v>Feature Matrix</x:v>
      </x:c>
      <x:c r="N1" s="3" t="str">
        <x:v>Feature Matrix</x:v>
      </x:c>
      <x:c r="O1" s="3" t="str">
        <x:v>Feature Matrix</x:v>
      </x:c>
    </x:row>
    <x:row r="2" ht="28.5" customHeight="1">
      <x:c r="A2" s="5" t="str">
        <x:v>Vendors in columns; features and controls in rows. Cells state both support level and implementation mechanism. Counts are formula-driven.</x:v>
      </x:c>
      <x:c r="B2" s="5" t="str">
        <x:v>Vendors in columns; features and controls in rows. Cells state both support level and implementation mechanism. Counts are formula-driven.</x:v>
      </x:c>
      <x:c r="C2" s="5" t="str">
        <x:v>Vendors in columns; features and controls in rows. Cells state both support level and implementation mechanism. Counts are formula-driven.</x:v>
      </x:c>
      <x:c r="D2" s="5" t="str">
        <x:v>Vendors in columns; features and controls in rows. Cells state both support level and implementation mechanism. Counts are formula-driven.</x:v>
      </x:c>
      <x:c r="E2" s="5" t="str">
        <x:v>Vendors in columns; features and controls in rows. Cells state both support level and implementation mechanism. Counts are formula-driven.</x:v>
      </x:c>
      <x:c r="F2" s="5" t="str">
        <x:v>Vendors in columns; features and controls in rows. Cells state both support level and implementation mechanism. Counts are formula-driven.</x:v>
      </x:c>
      <x:c r="G2" s="5" t="str">
        <x:v>Vendors in columns; features and controls in rows. Cells state both support level and implementation mechanism. Counts are formula-driven.</x:v>
      </x:c>
      <x:c r="H2" s="5" t="str">
        <x:v>Vendors in columns; features and controls in rows. Cells state both support level and implementation mechanism. Counts are formula-driven.</x:v>
      </x:c>
      <x:c r="I2" s="5" t="str">
        <x:v>Vendors in columns; features and controls in rows. Cells state both support level and implementation mechanism. Counts are formula-driven.</x:v>
      </x:c>
      <x:c r="J2" s="5" t="str">
        <x:v>Vendors in columns; features and controls in rows. Cells state both support level and implementation mechanism. Counts are formula-driven.</x:v>
      </x:c>
      <x:c r="K2" s="5" t="str">
        <x:v>Vendors in columns; features and controls in rows. Cells state both support level and implementation mechanism. Counts are formula-driven.</x:v>
      </x:c>
      <x:c r="L2" s="5" t="str">
        <x:v>Vendors in columns; features and controls in rows. Cells state both support level and implementation mechanism. Counts are formula-driven.</x:v>
      </x:c>
      <x:c r="M2" s="5" t="str">
        <x:v>Vendors in columns; features and controls in rows. Cells state both support level and implementation mechanism. Counts are formula-driven.</x:v>
      </x:c>
      <x:c r="N2" s="5" t="str">
        <x:v>Vendors in columns; features and controls in rows. Cells state both support level and implementation mechanism. Counts are formula-driven.</x:v>
      </x:c>
      <x:c r="O2" s="5" t="str">
        <x:v>Vendors in columns; features and controls in rows. Cells state both support level and implementation mechanism. Counts are formula-driven.</x:v>
      </x:c>
    </x:row>
    <x:row r="3" ht="28.5" customHeight="1">
      <x:c r="A3" s="28" t="str">
        <x:v>Legend: ✓ Native</x:v>
      </x:c>
      <x:c r="B3" s="29" t="str">
        <x:v>△ Limited/adjacent</x:v>
      </x:c>
      <x:c r="C3" s="30" t="str">
        <x:v>✕ Explicitly unsupported</x:v>
      </x:c>
      <x:c r="D3" s="31" t="str">
        <x:v>— Not documented</x:v>
      </x:c>
      <x:c r="E3" s="31" t="str"/>
      <x:c r="F3" s="31" t="str"/>
      <x:c r="G3" s="31" t="str"/>
      <x:c r="H3" s="31" t="str"/>
      <x:c r="I3" s="31" t="str"/>
      <x:c r="J3" s="31" t="str"/>
      <x:c r="K3" s="31" t="str"/>
      <x:c r="L3" s="31" t="str"/>
      <x:c r="M3" s="31" t="str"/>
      <x:c r="N3" s="31" t="str"/>
      <x:c r="O3" s="31" t="str"/>
    </x:row>
    <x:row r="4" ht="28.5" customHeight="1">
      <x:c r="A4" s="10" t="str">
        <x:v>Category</x:v>
      </x:c>
      <x:c r="B4" s="10" t="str">
        <x:v>Feature / control</x:v>
      </x:c>
      <x:c r="C4" s="10" t="str">
        <x:v>Proposed profile</x:v>
      </x:c>
      <x:c r="D4" s="10" t="str">
        <x:v>Native count</x:v>
      </x:c>
      <x:c r="E4" s="10" t="str">
        <x:v>Limited count</x:v>
      </x:c>
      <x:c r="F4" s="10" t="str">
        <x:v>Deepgram</x:v>
      </x:c>
      <x:c r="G4" s="10" t="str">
        <x:v>Speechmatics</x:v>
      </x:c>
      <x:c r="H4" s="10" t="str">
        <x:v>AssemblyAI</x:v>
      </x:c>
      <x:c r="I4" s="10" t="str">
        <x:v>ElevenLabs</x:v>
      </x:c>
      <x:c r="J4" s="10" t="str">
        <x:v>Soniox</x:v>
      </x:c>
      <x:c r="K4" s="10" t="str">
        <x:v>Gladia</x:v>
      </x:c>
      <x:c r="L4" s="10" t="str">
        <x:v>OpenAI</x:v>
      </x:c>
      <x:c r="M4" s="10" t="str">
        <x:v>Cartesia</x:v>
      </x:c>
      <x:c r="N4" s="10" t="str">
        <x:v>Google Cloud</x:v>
      </x:c>
      <x:c r="O4" s="10" t="str">
        <x:v>Azure Speech</x:v>
      </x:c>
    </x:row>
    <x:row r="5" ht="36" customHeight="1">
      <x:c r="A5" s="36" t="str">
        <x:v>Transport &amp; lifecycle</x:v>
      </x:c>
      <x:c r="B5" s="37" t="str">
        <x:v>Asynchronous batch/file API</x:v>
      </x:c>
      <x:c r="C5" s="38" t="str">
        <x:v>Core</x:v>
      </x:c>
      <x:c r="D5" s="39" t="n">
        <x:f>SUM(--(LEFT(F5,1)="✓"),--(LEFT(G5,1)="✓"),--(LEFT(H5,1)="✓"),--(LEFT(I5,1)="✓"),--(LEFT(J5,1)="✓"),--(LEFT(K5,1)="✓"),--(LEFT(L5,1)="✓"),--(LEFT(M5,1)="✓"),--(LEFT(N5,1)="✓"),--(LEFT(O5,1)="✓"))</x:f>
        <x:v>10</x:v>
      </x:c>
      <x:c r="E5" s="39" t="n">
        <x:f>SUM(--(LEFT(F5,1)="△"),--(LEFT(G5,1)="△"),--(LEFT(H5,1)="△"),--(LEFT(I5,1)="△"),--(LEFT(J5,1)="△"),--(LEFT(K5,1)="△"),--(LEFT(L5,1)="△"),--(LEFT(M5,1)="△"),--(LEFT(N5,1)="△"),--(LEFT(O5,1)="△"))</x:f>
        <x:v>0</x:v>
      </x:c>
      <x:c r="F5" s="37" t="str">
        <x:v>✓ Native — REST prerecorded</x:v>
      </x:c>
      <x:c r="G5" s="37" t="str">
        <x:v>✓ Native — REST batch</x:v>
      </x:c>
      <x:c r="H5" s="37" t="str">
        <x:v>✓ Native — REST async transcript</x:v>
      </x:c>
      <x:c r="I5" s="37" t="str">
        <x:v>✓ Native — REST sync/async</x:v>
      </x:c>
      <x:c r="J5" s="37" t="str">
        <x:v>✓ Native — REST async</x:v>
      </x:c>
      <x:c r="K5" s="37" t="str">
        <x:v>✓ Native — REST prerecorded</x:v>
      </x:c>
      <x:c r="L5" s="37" t="str">
        <x:v>✓ Native — multipart file transcription</x:v>
      </x:c>
      <x:c r="M5" s="37" t="str">
        <x:v>✓ Native — POST /stt</x:v>
      </x:c>
      <x:c r="N5" s="37" t="str">
        <x:v>✓ Native — BatchRecognize</x:v>
      </x:c>
      <x:c r="O5" s="37" t="str">
        <x:v>✓ Native — fast + batch REST</x:v>
      </x:c>
    </x:row>
    <x:row r="6" ht="36" customHeight="1">
      <x:c r="A6" s="32" t="str">
        <x:v>Transport &amp; lifecycle</x:v>
      </x:c>
      <x:c r="B6" s="14" t="str">
        <x:v>Synchronous file API</x:v>
      </x:c>
      <x:c r="C6" s="33" t="str">
        <x:v>Optional</x:v>
      </x:c>
      <x:c r="D6" s="35" t="n">
        <x:f>SUM(--(LEFT(F6,1)="✓"),--(LEFT(G6,1)="✓"),--(LEFT(H6,1)="✓"),--(LEFT(I6,1)="✓"),--(LEFT(J6,1)="✓"),--(LEFT(K6,1)="✓"),--(LEFT(L6,1)="✓"),--(LEFT(M6,1)="✓"),--(LEFT(N6,1)="✓"),--(LEFT(O6,1)="✓"))</x:f>
        <x:v>6</x:v>
      </x:c>
      <x:c r="E6" s="35" t="n">
        <x:f>SUM(--(LEFT(F6,1)="△"),--(LEFT(G6,1)="△"),--(LEFT(H6,1)="△"),--(LEFT(I6,1)="△"),--(LEFT(J6,1)="△"),--(LEFT(K6,1)="△"),--(LEFT(L6,1)="△"),--(LEFT(M6,1)="△"),--(LEFT(N6,1)="△"),--(LEFT(O6,1)="△"))</x:f>
        <x:v>4</x:v>
      </x:c>
      <x:c r="F6" s="14" t="str">
        <x:v>✓ Native — REST listen</x:v>
      </x:c>
      <x:c r="G6" s="14" t="str">
        <x:v>△ Limited — batch job API</x:v>
      </x:c>
      <x:c r="H6" s="14" t="str">
        <x:v>△ Limited — async-first REST</x:v>
      </x:c>
      <x:c r="I6" s="14" t="str">
        <x:v>✓ Native — sync file conversion</x:v>
      </x:c>
      <x:c r="J6" s="14" t="str">
        <x:v>△ Limited — async-first REST</x:v>
      </x:c>
      <x:c r="K6" s="14" t="str">
        <x:v>△ Limited — async-first REST</x:v>
      </x:c>
      <x:c r="L6" s="14" t="str">
        <x:v>✓ Native — file transcription</x:v>
      </x:c>
      <x:c r="M6" s="14" t="str">
        <x:v>✓ Native — POST /stt</x:v>
      </x:c>
      <x:c r="N6" s="14" t="str">
        <x:v>✓ Native — Recognize</x:v>
      </x:c>
      <x:c r="O6" s="14" t="str">
        <x:v>✓ Native — fast transcription</x:v>
      </x:c>
    </x:row>
    <x:row r="7" ht="36" customHeight="1">
      <x:c r="A7" s="32" t="str">
        <x:v>Transport &amp; lifecycle</x:v>
      </x:c>
      <x:c r="B7" s="14" t="str">
        <x:v>Real-time bidirectional streaming</x:v>
      </x:c>
      <x:c r="C7" s="33" t="str">
        <x:v>Core</x:v>
      </x:c>
      <x:c r="D7" s="35" t="n">
        <x:f>SUM(--(LEFT(F7,1)="✓"),--(LEFT(G7,1)="✓"),--(LEFT(H7,1)="✓"),--(LEFT(I7,1)="✓"),--(LEFT(J7,1)="✓"),--(LEFT(K7,1)="✓"),--(LEFT(L7,1)="✓"),--(LEFT(M7,1)="✓"),--(LEFT(N7,1)="✓"),--(LEFT(O7,1)="✓"))</x:f>
        <x:v>10</x:v>
      </x:c>
      <x:c r="E7" s="35" t="n">
        <x:f>SUM(--(LEFT(F7,1)="△"),--(LEFT(G7,1)="△"),--(LEFT(H7,1)="△"),--(LEFT(I7,1)="△"),--(LEFT(J7,1)="△"),--(LEFT(K7,1)="△"),--(LEFT(L7,1)="△"),--(LEFT(M7,1)="△"),--(LEFT(N7,1)="△"),--(LEFT(O7,1)="△"))</x:f>
        <x:v>0</x:v>
      </x:c>
      <x:c r="F7" s="14" t="str">
        <x:v>✓ Native — WSS /v1; Flux /v2</x:v>
      </x:c>
      <x:c r="G7" s="14" t="str">
        <x:v>✓ Native — WSS realtime</x:v>
      </x:c>
      <x:c r="H7" s="14" t="str">
        <x:v>✓ Native — WSS /v3/ws</x:v>
      </x:c>
      <x:c r="I7" s="14" t="str">
        <x:v>✓ Native — WSS realtime Scribe</x:v>
      </x:c>
      <x:c r="J7" s="14" t="str">
        <x:v>✓ Native — WSS realtime</x:v>
      </x:c>
      <x:c r="K7" s="14" t="str">
        <x:v>✓ Native — signed WSS live session</x:v>
      </x:c>
      <x:c r="L7" s="14" t="str">
        <x:v>✓ Native — Realtime transcription</x:v>
      </x:c>
      <x:c r="M7" s="14" t="str">
        <x:v>✓ Native — manual + auto-turn WSS</x:v>
      </x:c>
      <x:c r="N7" s="14" t="str">
        <x:v>✓ Native — gRPC StreamingRecognize</x:v>
      </x:c>
      <x:c r="O7" s="14" t="str">
        <x:v>✓ Native — Speech SDK stream</x:v>
      </x:c>
    </x:row>
    <x:row r="8" ht="36" customHeight="1">
      <x:c r="A8" s="32" t="str">
        <x:v>Transport &amp; lifecycle</x:v>
      </x:c>
      <x:c r="B8" s="14" t="str">
        <x:v>Public WebSocket API</x:v>
      </x:c>
      <x:c r="C8" s="33" t="str">
        <x:v>Compatibility binding</x:v>
      </x:c>
      <x:c r="D8" s="35" t="n">
        <x:f>SUM(--(LEFT(F8,1)="✓"),--(LEFT(G8,1)="✓"),--(LEFT(H8,1)="✓"),--(LEFT(I8,1)="✓"),--(LEFT(J8,1)="✓"),--(LEFT(K8,1)="✓"),--(LEFT(L8,1)="✓"),--(LEFT(M8,1)="✓"),--(LEFT(N8,1)="✓"),--(LEFT(O8,1)="✓"))</x:f>
        <x:v>8</x:v>
      </x:c>
      <x:c r="E8" s="35" t="n">
        <x:f>SUM(--(LEFT(F8,1)="△"),--(LEFT(G8,1)="△"),--(LEFT(H8,1)="△"),--(LEFT(I8,1)="△"),--(LEFT(J8,1)="△"),--(LEFT(K8,1)="△"),--(LEFT(L8,1)="△"),--(LEFT(M8,1)="△"),--(LEFT(N8,1)="△"),--(LEFT(O8,1)="△"))</x:f>
        <x:v>1</x:v>
      </x:c>
      <x:c r="F8" s="14" t="str">
        <x:v>✓ Native — binary audio + JSON events</x:v>
      </x:c>
      <x:c r="G8" s="14" t="str">
        <x:v>✓ Native — binary audio + JSON protocol</x:v>
      </x:c>
      <x:c r="H8" s="14" t="str">
        <x:v>✓ Native — binary audio + JSON messages</x:v>
      </x:c>
      <x:c r="I8" s="14" t="str">
        <x:v>✓ Native — JSON/base64 audio events</x:v>
      </x:c>
      <x:c r="J8" s="14" t="str">
        <x:v>✓ Native — binary audio + token events</x:v>
      </x:c>
      <x:c r="K8" s="14" t="str">
        <x:v>✓ Native — binary audio + JSON events</x:v>
      </x:c>
      <x:c r="L8" s="14" t="str">
        <x:v>✓ Native — JSON/base64 Realtime protocol</x:v>
      </x:c>
      <x:c r="M8" s="14" t="str">
        <x:v>✓ Native — binary audio + JSON control</x:v>
      </x:c>
      <x:c r="N8" s="14" t="str">
        <x:v>— No public support documented</x:v>
      </x:c>
      <x:c r="O8" s="14" t="str">
        <x:v>△ Limited — SDK-managed; raw protocol not primary API</x:v>
      </x:c>
    </x:row>
    <x:row r="9" ht="36" customHeight="1">
      <x:c r="A9" s="32" t="str">
        <x:v>Transport &amp; lifecycle</x:v>
      </x:c>
      <x:c r="B9" s="14" t="str">
        <x:v>Public gRPC streaming API</x:v>
      </x:c>
      <x:c r="C9" s="33" t="str">
        <x:v>Compatibility binding</x:v>
      </x:c>
      <x:c r="D9" s="35" t="n">
        <x:f>SUM(--(LEFT(F9,1)="✓"),--(LEFT(G9,1)="✓"),--(LEFT(H9,1)="✓"),--(LEFT(I9,1)="✓"),--(LEFT(J9,1)="✓"),--(LEFT(K9,1)="✓"),--(LEFT(L9,1)="✓"),--(LEFT(M9,1)="✓"),--(LEFT(N9,1)="✓"),--(LEFT(O9,1)="✓"))</x:f>
        <x:v>1</x:v>
      </x:c>
      <x:c r="E9" s="35" t="n">
        <x:f>SUM(--(LEFT(F9,1)="△"),--(LEFT(G9,1)="△"),--(LEFT(H9,1)="△"),--(LEFT(I9,1)="△"),--(LEFT(J9,1)="△"),--(LEFT(K9,1)="△"),--(LEFT(L9,1)="△"),--(LEFT(M9,1)="△"),--(LEFT(N9,1)="△"),--(LEFT(O9,1)="△"))</x:f>
        <x:v>0</x:v>
      </x:c>
      <x:c r="F9" s="14" t="str">
        <x:v>— No public support documented</x:v>
      </x:c>
      <x:c r="G9" s="14" t="str">
        <x:v>— No public support documented</x:v>
      </x:c>
      <x:c r="H9" s="14" t="str">
        <x:v>— internal/self-host transport only</x:v>
      </x:c>
      <x:c r="I9" s="14" t="str">
        <x:v>— No public support documented</x:v>
      </x:c>
      <x:c r="J9" s="14" t="str">
        <x:v>— No public support documented</x:v>
      </x:c>
      <x:c r="K9" s="14" t="str">
        <x:v>— No public support documented</x:v>
      </x:c>
      <x:c r="L9" s="14" t="str">
        <x:v>— No public support documented</x:v>
      </x:c>
      <x:c r="M9" s="14" t="str">
        <x:v>— No public support documented</x:v>
      </x:c>
      <x:c r="N9" s="14" t="str">
        <x:v>✓ Native — StreamingRecognize over HTTP/2</x:v>
      </x:c>
      <x:c r="O9" s="14" t="str">
        <x:v>— No public support documented</x:v>
      </x:c>
    </x:row>
    <x:row r="10" ht="36" customHeight="1">
      <x:c r="A10" s="32" t="str">
        <x:v>Transport &amp; lifecycle</x:v>
      </x:c>
      <x:c r="B10" s="14" t="str">
        <x:v>WebRTC client transport</x:v>
      </x:c>
      <x:c r="C10" s="33" t="str">
        <x:v>Optional binding</x:v>
      </x:c>
      <x:c r="D10" s="35" t="n">
        <x:f>SUM(--(LEFT(F10,1)="✓"),--(LEFT(G10,1)="✓"),--(LEFT(H10,1)="✓"),--(LEFT(I10,1)="✓"),--(LEFT(J10,1)="✓"),--(LEFT(K10,1)="✓"),--(LEFT(L10,1)="✓"),--(LEFT(M10,1)="✓"),--(LEFT(N10,1)="✓"),--(LEFT(O10,1)="✓"))</x:f>
        <x:v>1</x:v>
      </x:c>
      <x:c r="E10" s="35" t="n">
        <x:f>SUM(--(LEFT(F10,1)="△"),--(LEFT(G10,1)="△"),--(LEFT(H10,1)="△"),--(LEFT(I10,1)="△"),--(LEFT(J10,1)="△"),--(LEFT(K10,1)="△"),--(LEFT(L10,1)="△"),--(LEFT(M10,1)="△"),--(LEFT(N10,1)="△"),--(LEFT(O10,1)="△"))</x:f>
        <x:v>1</x:v>
      </x:c>
      <x:c r="F10" s="14" t="str">
        <x:v>— No public support documented</x:v>
      </x:c>
      <x:c r="G10" s="14" t="str">
        <x:v>— No public support documented</x:v>
      </x:c>
      <x:c r="H10" s="14" t="str">
        <x:v>— No public support documented</x:v>
      </x:c>
      <x:c r="I10" s="14" t="str">
        <x:v>— available in ElevenAgents, not direct Scribe</x:v>
      </x:c>
      <x:c r="J10" s="14" t="str">
        <x:v>— No public support documented</x:v>
      </x:c>
      <x:c r="K10" s="14" t="str">
        <x:v>— No public support documented</x:v>
      </x:c>
      <x:c r="L10" s="14" t="str">
        <x:v>✓ Native — Realtime transcription media + data channel</x:v>
      </x:c>
      <x:c r="M10" s="14" t="str">
        <x:v>— No public support documented</x:v>
      </x:c>
      <x:c r="N10" s="14" t="str">
        <x:v>— No public support documented</x:v>
      </x:c>
      <x:c r="O10" s="14" t="str">
        <x:v>△ Limited — adjacent Voice Live, not standard STT</x:v>
      </x:c>
    </x:row>
    <x:row r="11" ht="36" customHeight="1">
      <x:c r="A11" s="32" t="str">
        <x:v>Transport &amp; lifecycle</x:v>
      </x:c>
      <x:c r="B11" s="14" t="str">
        <x:v>Direct SIP ingress</x:v>
      </x:c>
      <x:c r="C11" s="33" t="str">
        <x:v>Optional binding</x:v>
      </x:c>
      <x:c r="D11" s="35" t="n">
        <x:f>SUM(--(LEFT(F11,1)="✓"),--(LEFT(G11,1)="✓"),--(LEFT(H11,1)="✓"),--(LEFT(I11,1)="✓"),--(LEFT(J11,1)="✓"),--(LEFT(K11,1)="✓"),--(LEFT(L11,1)="✓"),--(LEFT(M11,1)="✓"),--(LEFT(N11,1)="✓"),--(LEFT(O11,1)="✓"))</x:f>
        <x:v>1</x:v>
      </x:c>
      <x:c r="E11" s="35" t="n">
        <x:f>SUM(--(LEFT(F11,1)="△"),--(LEFT(G11,1)="△"),--(LEFT(H11,1)="△"),--(LEFT(I11,1)="△"),--(LEFT(J11,1)="△"),--(LEFT(K11,1)="△"),--(LEFT(L11,1)="△"),--(LEFT(M11,1)="△"),--(LEFT(N11,1)="△"),--(LEFT(O11,1)="△"))</x:f>
        <x:v>0</x:v>
      </x:c>
      <x:c r="F11" s="14" t="str">
        <x:v>— self-host SIPREC add-on only</x:v>
      </x:c>
      <x:c r="G11" s="14" t="str">
        <x:v>— No public support documented</x:v>
      </x:c>
      <x:c r="H11" s="14" t="str">
        <x:v>— No public support documented</x:v>
      </x:c>
      <x:c r="I11" s="14" t="str">
        <x:v>— ElevenAgents only</x:v>
      </x:c>
      <x:c r="J11" s="14" t="str">
        <x:v>— No public support documented</x:v>
      </x:c>
      <x:c r="K11" s="14" t="str">
        <x:v>— No public support documented</x:v>
      </x:c>
      <x:c r="L11" s="14" t="str">
        <x:v>✓ Native — Realtime SIP</x:v>
      </x:c>
      <x:c r="M11" s="14" t="str">
        <x:v>— No public support documented</x:v>
      </x:c>
      <x:c r="N11" s="14" t="str">
        <x:v>— No public support documented</x:v>
      </x:c>
      <x:c r="O11" s="14" t="str">
        <x:v>— No public support documented</x:v>
      </x:c>
    </x:row>
    <x:row r="12" ht="36" customHeight="1">
      <x:c r="A12" s="32" t="str">
        <x:v>Transport &amp; lifecycle</x:v>
      </x:c>
      <x:c r="B12" s="14" t="str">
        <x:v>Direct RTP/SRTP media API</x:v>
      </x:c>
      <x:c r="C12" s="33" t="str">
        <x:v>Optional binding</x:v>
      </x:c>
      <x:c r="D12" s="35" t="n">
        <x:f>SUM(--(LEFT(F12,1)="✓"),--(LEFT(G12,1)="✓"),--(LEFT(H12,1)="✓"),--(LEFT(I12,1)="✓"),--(LEFT(J12,1)="✓"),--(LEFT(K12,1)="✓"),--(LEFT(L12,1)="✓"),--(LEFT(M12,1)="✓"),--(LEFT(N12,1)="✓"),--(LEFT(O12,1)="✓"))</x:f>
        <x:v>0</x:v>
      </x:c>
      <x:c r="E12" s="35" t="n">
        <x:f>SUM(--(LEFT(F12,1)="△"),--(LEFT(G12,1)="△"),--(LEFT(H12,1)="△"),--(LEFT(I12,1)="△"),--(LEFT(J12,1)="△"),--(LEFT(K12,1)="△"),--(LEFT(L12,1)="△"),--(LEFT(M12,1)="△"),--(LEFT(N12,1)="△"),--(LEFT(O12,1)="△"))</x:f>
        <x:v>1</x:v>
      </x:c>
      <x:c r="F12" s="14" t="str">
        <x:v>— enterprise integrations, not public cloud API</x:v>
      </x:c>
      <x:c r="G12" s="14" t="str">
        <x:v>— No public support documented</x:v>
      </x:c>
      <x:c r="H12" s="14" t="str">
        <x:v>— No public support documented</x:v>
      </x:c>
      <x:c r="I12" s="14" t="str">
        <x:v>— agent platform only</x:v>
      </x:c>
      <x:c r="J12" s="14" t="str">
        <x:v>— No public support documented</x:v>
      </x:c>
      <x:c r="K12" s="14" t="str">
        <x:v>— No public support documented</x:v>
      </x:c>
      <x:c r="L12" s="14" t="str">
        <x:v>△ Limited — SIP service terminates media; no raw RTP API</x:v>
      </x:c>
      <x:c r="M12" s="14" t="str">
        <x:v>— No public support documented</x:v>
      </x:c>
      <x:c r="N12" s="14" t="str">
        <x:v>— No public support documented</x:v>
      </x:c>
      <x:c r="O12" s="14" t="str">
        <x:v>— No public support documented</x:v>
      </x:c>
    </x:row>
    <x:row r="13" ht="36" customHeight="1">
      <x:c r="A13" s="32" t="str">
        <x:v>Transport &amp; lifecycle</x:v>
      </x:c>
      <x:c r="B13" s="14" t="str">
        <x:v>Raw UDP API</x:v>
      </x:c>
      <x:c r="C13" s="33" t="str">
        <x:v>Not recommended</x:v>
      </x:c>
      <x:c r="D13" s="35" t="n">
        <x:f>SUM(--(LEFT(F13,1)="✓"),--(LEFT(G13,1)="✓"),--(LEFT(H13,1)="✓"),--(LEFT(I13,1)="✓"),--(LEFT(J13,1)="✓"),--(LEFT(K13,1)="✓"),--(LEFT(L13,1)="✓"),--(LEFT(M13,1)="✓"),--(LEFT(N13,1)="✓"),--(LEFT(O13,1)="✓"))</x:f>
        <x:v>0</x:v>
      </x:c>
      <x:c r="E13" s="35" t="n">
        <x:f>SUM(--(LEFT(F13,1)="△"),--(LEFT(G13,1)="△"),--(LEFT(H13,1)="△"),--(LEFT(I13,1)="△"),--(LEFT(J13,1)="△"),--(LEFT(K13,1)="△"),--(LEFT(L13,1)="△"),--(LEFT(M13,1)="△"),--(LEFT(N13,1)="△"),--(LEFT(O13,1)="△"))</x:f>
        <x:v>0</x:v>
      </x:c>
      <x:c r="F13" s="14" t="str">
        <x:v>— No public support documented</x:v>
      </x:c>
      <x:c r="G13" s="14" t="str">
        <x:v>— No public support documented</x:v>
      </x:c>
      <x:c r="H13" s="14" t="str">
        <x:v>— No public support documented</x:v>
      </x:c>
      <x:c r="I13" s="14" t="str">
        <x:v>— No public support documented</x:v>
      </x:c>
      <x:c r="J13" s="14" t="str">
        <x:v>— No public support documented</x:v>
      </x:c>
      <x:c r="K13" s="14" t="str">
        <x:v>— No public support documented</x:v>
      </x:c>
      <x:c r="L13" s="14" t="str">
        <x:v>— WebRTC may use UDP/SRTP; not raw UDP</x:v>
      </x:c>
      <x:c r="M13" s="14" t="str">
        <x:v>— No public support documented</x:v>
      </x:c>
      <x:c r="N13" s="14" t="str">
        <x:v>— No public support documented</x:v>
      </x:c>
      <x:c r="O13" s="14" t="str">
        <x:v>— No public support documented</x:v>
      </x:c>
    </x:row>
    <x:row r="14" ht="36" customHeight="1">
      <x:c r="A14" s="32" t="str">
        <x:v>Transport &amp; lifecycle</x:v>
      </x:c>
      <x:c r="B14" s="14" t="str">
        <x:v>QUIC / WebTransport API</x:v>
      </x:c>
      <x:c r="C14" s="33" t="str">
        <x:v>Primary proposed binding</x:v>
      </x:c>
      <x:c r="D14" s="35" t="n">
        <x:f>SUM(--(LEFT(F14,1)="✓"),--(LEFT(G14,1)="✓"),--(LEFT(H14,1)="✓"),--(LEFT(I14,1)="✓"),--(LEFT(J14,1)="✓"),--(LEFT(K14,1)="✓"),--(LEFT(L14,1)="✓"),--(LEFT(M14,1)="✓"),--(LEFT(N14,1)="✓"),--(LEFT(O14,1)="✓"))</x:f>
        <x:v>0</x:v>
      </x:c>
      <x:c r="E14" s="35" t="n">
        <x:f>SUM(--(LEFT(F14,1)="△"),--(LEFT(G14,1)="△"),--(LEFT(H14,1)="△"),--(LEFT(I14,1)="△"),--(LEFT(J14,1)="△"),--(LEFT(K14,1)="△"),--(LEFT(L14,1)="△"),--(LEFT(M14,1)="△"),--(LEFT(N14,1)="△"),--(LEFT(O14,1)="△"))</x:f>
        <x:v>0</x:v>
      </x:c>
      <x:c r="F14" s="14" t="str">
        <x:v>— No public support documented</x:v>
      </x:c>
      <x:c r="G14" s="14" t="str">
        <x:v>— No public support documented</x:v>
      </x:c>
      <x:c r="H14" s="14" t="str">
        <x:v>— No public support documented</x:v>
      </x:c>
      <x:c r="I14" s="14" t="str">
        <x:v>— No public support documented</x:v>
      </x:c>
      <x:c r="J14" s="14" t="str">
        <x:v>— No public support documented</x:v>
      </x:c>
      <x:c r="K14" s="14" t="str">
        <x:v>— No public support documented</x:v>
      </x:c>
      <x:c r="L14" s="14" t="str">
        <x:v>— No public support documented</x:v>
      </x:c>
      <x:c r="M14" s="14" t="str">
        <x:v>— No public support documented</x:v>
      </x:c>
      <x:c r="N14" s="14" t="str">
        <x:v>— No public support documented</x:v>
      </x:c>
      <x:c r="O14" s="14" t="str">
        <x:v>— No public support documented</x:v>
      </x:c>
    </x:row>
    <x:row r="15" ht="36" customHeight="1">
      <x:c r="A15" s="32" t="str">
        <x:v>Transport &amp; lifecycle</x:v>
      </x:c>
      <x:c r="B15" s="14" t="str">
        <x:v>Temporary client credentials</x:v>
      </x:c>
      <x:c r="C15" s="33" t="str">
        <x:v>Core security</x:v>
      </x:c>
      <x:c r="D15" s="35" t="n">
        <x:f>SUM(--(LEFT(F15,1)="✓"),--(LEFT(G15,1)="✓"),--(LEFT(H15,1)="✓"),--(LEFT(I15,1)="✓"),--(LEFT(J15,1)="✓"),--(LEFT(K15,1)="✓"),--(LEFT(L15,1)="✓"),--(LEFT(M15,1)="✓"),--(LEFT(N15,1)="✓"),--(LEFT(O15,1)="✓"))</x:f>
        <x:v>10</x:v>
      </x:c>
      <x:c r="E15" s="35" t="n">
        <x:f>SUM(--(LEFT(F15,1)="△"),--(LEFT(G15,1)="△"),--(LEFT(H15,1)="△"),--(LEFT(I15,1)="△"),--(LEFT(J15,1)="△"),--(LEFT(K15,1)="△"),--(LEFT(L15,1)="△"),--(LEFT(M15,1)="△"),--(LEFT(N15,1)="△"),--(LEFT(O15,1)="△"))</x:f>
        <x:v>0</x:v>
      </x:c>
      <x:c r="F15" s="14" t="str">
        <x:v>✓ Native — temporary/JWT token options</x:v>
      </x:c>
      <x:c r="G15" s="14" t="str">
        <x:v>✓ Native — temporary JWT</x:v>
      </x:c>
      <x:c r="H15" s="14" t="str">
        <x:v>✓ Native — temporary token query</x:v>
      </x:c>
      <x:c r="I15" s="14" t="str">
        <x:v>✓ Native — single-use token</x:v>
      </x:c>
      <x:c r="J15" s="14" t="str">
        <x:v>✓ Native — scoped temporary keys</x:v>
      </x:c>
      <x:c r="K15" s="14" t="str">
        <x:v>✓ Native — temporary signed WebSocket URL</x:v>
      </x:c>
      <x:c r="L15" s="14" t="str">
        <x:v>✓ Native — ephemeral client token</x:v>
      </x:c>
      <x:c r="M15" s="14" t="str">
        <x:v>✓ Native — short-lived access token</x:v>
      </x:c>
      <x:c r="N15" s="14" t="str">
        <x:v>✓ Native — OAuth access token</x:v>
      </x:c>
      <x:c r="O15" s="14" t="str">
        <x:v>✓ Native — auth token / Entra ID</x:v>
      </x:c>
    </x:row>
    <x:row r="16" ht="36" customHeight="1">
      <x:c r="A16" s="32" t="str">
        <x:v>Transport &amp; lifecycle</x:v>
      </x:c>
      <x:c r="B16" s="14" t="str">
        <x:v>Application keepalive</x:v>
      </x:c>
      <x:c r="C16" s="33" t="str">
        <x:v>Optional</x:v>
      </x:c>
      <x:c r="D16" s="35" t="n">
        <x:f>SUM(--(LEFT(F16,1)="✓"),--(LEFT(G16,1)="✓"),--(LEFT(H16,1)="✓"),--(LEFT(I16,1)="✓"),--(LEFT(J16,1)="✓"),--(LEFT(K16,1)="✓"),--(LEFT(L16,1)="✓"),--(LEFT(M16,1)="✓"),--(LEFT(N16,1)="✓"),--(LEFT(O16,1)="✓"))</x:f>
        <x:v>3</x:v>
      </x:c>
      <x:c r="E16" s="35" t="n">
        <x:f>SUM(--(LEFT(F16,1)="△"),--(LEFT(G16,1)="△"),--(LEFT(H16,1)="△"),--(LEFT(I16,1)="△"),--(LEFT(J16,1)="△"),--(LEFT(K16,1)="△"),--(LEFT(L16,1)="△"),--(LEFT(M16,1)="△"),--(LEFT(N16,1)="△"),--(LEFT(O16,1)="△"))</x:f>
        <x:v>2</x:v>
      </x:c>
      <x:c r="F16" s="14" t="str">
        <x:v>✓ Native — KeepAlive message</x:v>
      </x:c>
      <x:c r="G16" s="14" t="str">
        <x:v>— No public support documented</x:v>
      </x:c>
      <x:c r="H16" s="14" t="str">
        <x:v>✓ Native — heartbeat/timeout controls</x:v>
      </x:c>
      <x:c r="I16" s="14" t="str">
        <x:v>— No public support documented</x:v>
      </x:c>
      <x:c r="J16" s="14" t="str">
        <x:v>✓ Native — keepalive message</x:v>
      </x:c>
      <x:c r="K16" s="14" t="str">
        <x:v>— No public support documented</x:v>
      </x:c>
      <x:c r="L16" s="14" t="str">
        <x:v>— No public support documented</x:v>
      </x:c>
      <x:c r="M16" s="14" t="str">
        <x:v>— 3-minute idle timeout documented</x:v>
      </x:c>
      <x:c r="N16" s="14" t="str">
        <x:v>△ Limited — generic gRPC keepalive, not STT message</x:v>
      </x:c>
      <x:c r="O16" s="14" t="str">
        <x:v>△ Limited — SDK-managed connection</x:v>
      </x:c>
    </x:row>
    <x:row r="17" ht="36" customHeight="1">
      <x:c r="A17" s="32" t="str">
        <x:v>Transport &amp; lifecycle</x:v>
      </x:c>
      <x:c r="B17" s="14" t="str">
        <x:v>Reconnect / resume same session</x:v>
      </x:c>
      <x:c r="C17" s="33" t="str">
        <x:v>Optional</x:v>
      </x:c>
      <x:c r="D17" s="35" t="n">
        <x:f>SUM(--(LEFT(F17,1)="✓"),--(LEFT(G17,1)="✓"),--(LEFT(H17,1)="✓"),--(LEFT(I17,1)="✓"),--(LEFT(J17,1)="✓"),--(LEFT(K17,1)="✓"),--(LEFT(L17,1)="✓"),--(LEFT(M17,1)="✓"),--(LEFT(N17,1)="✓"),--(LEFT(O17,1)="✓"))</x:f>
        <x:v>1</x:v>
      </x:c>
      <x:c r="E17" s="35" t="n">
        <x:f>SUM(--(LEFT(F17,1)="△"),--(LEFT(G17,1)="△"),--(LEFT(H17,1)="△"),--(LEFT(I17,1)="△"),--(LEFT(J17,1)="△"),--(LEFT(K17,1)="△"),--(LEFT(L17,1)="△"),--(LEFT(M17,1)="△"),--(LEFT(N17,1)="△"),--(LEFT(O17,1)="△"))</x:f>
        <x:v>1</x:v>
      </x:c>
      <x:c r="F17" s="14" t="str">
        <x:v>— reconnect creates new session</x:v>
      </x:c>
      <x:c r="G17" s="14" t="str">
        <x:v>— no session resume</x:v>
      </x:c>
      <x:c r="H17" s="14" t="str">
        <x:v>— no STT resume</x:v>
      </x:c>
      <x:c r="I17" s="14" t="str">
        <x:v>— no resume protocol</x:v>
      </x:c>
      <x:c r="J17" s="14" t="str">
        <x:v>△ Limited — SDK reconnect starts a new session</x:v>
      </x:c>
      <x:c r="K17" s="14" t="str">
        <x:v>✓ Native — reuse signed URL; preserves live context</x:v>
      </x:c>
      <x:c r="L17" s="14" t="str">
        <x:v>— no audio/transcript resume</x:v>
      </x:c>
      <x:c r="M17" s="14" t="str">
        <x:v>— reopen; no resume</x:v>
      </x:c>
      <x:c r="N17" s="14" t="str">
        <x:v>— restart/audio bridging required</x:v>
      </x:c>
      <x:c r="O17" s="14" t="str">
        <x:v>— no lossless resume semantics</x:v>
      </x:c>
    </x:row>
    <x:row r="18" ht="36" customHeight="1">
      <x:c r="A18" s="32" t="str">
        <x:v>Transport &amp; lifecycle</x:v>
      </x:c>
      <x:c r="B18" s="14" t="str">
        <x:v>Mid-session configuration update</x:v>
      </x:c>
      <x:c r="C18" s="33" t="str">
        <x:v>Core</x:v>
      </x:c>
      <x:c r="D18" s="35" t="n">
        <x:f>SUM(--(LEFT(F18,1)="✓"),--(LEFT(G18,1)="✓"),--(LEFT(H18,1)="✓"),--(LEFT(I18,1)="✓"),--(LEFT(J18,1)="✓"),--(LEFT(K18,1)="✓"),--(LEFT(L18,1)="✓"),--(LEFT(M18,1)="✓"),--(LEFT(N18,1)="✓"),--(LEFT(O18,1)="✓"))</x:f>
        <x:v>4</x:v>
      </x:c>
      <x:c r="E18" s="35" t="n">
        <x:f>SUM(--(LEFT(F18,1)="△"),--(LEFT(G18,1)="△"),--(LEFT(H18,1)="△"),--(LEFT(I18,1)="△"),--(LEFT(J18,1)="△"),--(LEFT(K18,1)="△"),--(LEFT(L18,1)="△"),--(LEFT(M18,1)="△"),--(LEFT(N18,1)="△"),--(LEFT(O18,1)="△"))</x:f>
        <x:v>2</x:v>
      </x:c>
      <x:c r="F18" s="14" t="str">
        <x:v>✓ Native — Flux Configure</x:v>
      </x:c>
      <x:c r="G18" s="14" t="str">
        <x:v>△ Limited — SetRecognitionConfig: selected fields</x:v>
      </x:c>
      <x:c r="H18" s="14" t="str">
        <x:v>✓ Native — UpdateConfiguration</x:v>
      </x:c>
      <x:c r="I18" s="14" t="str">
        <x:v>— No public support documented</x:v>
      </x:c>
      <x:c r="J18" s="14" t="str">
        <x:v>— No public support documented</x:v>
      </x:c>
      <x:c r="K18" s="14" t="str">
        <x:v>— No public support documented</x:v>
      </x:c>
      <x:c r="L18" s="14" t="str">
        <x:v>✓ Native — session.update</x:v>
      </x:c>
      <x:c r="M18" s="14" t="str">
        <x:v>✓ Native — turn thresholds via config</x:v>
      </x:c>
      <x:c r="N18" s="14" t="str">
        <x:v>— config only in first request</x:v>
      </x:c>
      <x:c r="O18" s="14" t="str">
        <x:v>△ Limited — phrase updates; most settings recreate recognizer</x:v>
      </x:c>
    </x:row>
    <x:row r="19" ht="36" customHeight="1">
      <x:c r="A19" s="32" t="str">
        <x:v>Transport &amp; lifecycle</x:v>
      </x:c>
      <x:c r="B19" s="14" t="str">
        <x:v>Webhook / callback delivery</x:v>
      </x:c>
      <x:c r="C19" s="33" t="str">
        <x:v>Optional</x:v>
      </x:c>
      <x:c r="D19" s="35" t="n">
        <x:f>SUM(--(LEFT(F19,1)="✓"),--(LEFT(G19,1)="✓"),--(LEFT(H19,1)="✓"),--(LEFT(I19,1)="✓"),--(LEFT(J19,1)="✓"),--(LEFT(K19,1)="✓"),--(LEFT(L19,1)="✓"),--(LEFT(M19,1)="✓"),--(LEFT(N19,1)="✓"),--(LEFT(O19,1)="✓"))</x:f>
        <x:v>6</x:v>
      </x:c>
      <x:c r="E19" s="35" t="n">
        <x:f>SUM(--(LEFT(F19,1)="△"),--(LEFT(G19,1)="△"),--(LEFT(H19,1)="△"),--(LEFT(I19,1)="△"),--(LEFT(J19,1)="△"),--(LEFT(K19,1)="△"),--(LEFT(L19,1)="△"),--(LEFT(M19,1)="△"),--(LEFT(N19,1)="△"),--(LEFT(O19,1)="△"))</x:f>
        <x:v>2</x:v>
      </x:c>
      <x:c r="F19" s="14" t="str">
        <x:v>✓ Native — batch + streaming callbacks</x:v>
      </x:c>
      <x:c r="G19" s="14" t="str">
        <x:v>✓ Native — batch notifications</x:v>
      </x:c>
      <x:c r="H19" s="14" t="str">
        <x:v>✓ Native — batch + streaming webhooks</x:v>
      </x:c>
      <x:c r="I19" s="14" t="str">
        <x:v>✓ Native — async webhooks</x:v>
      </x:c>
      <x:c r="J19" s="14" t="str">
        <x:v>✓ Native — async webhooks</x:v>
      </x:c>
      <x:c r="K19" s="14" t="str">
        <x:v>✓ Native — live callbacks + async</x:v>
      </x:c>
      <x:c r="L19" s="14" t="str">
        <x:v>△ Limited — SIP lifecycle; not standard file-STT completion</x:v>
      </x:c>
      <x:c r="M19" s="14" t="str">
        <x:v>— No public support documented</x:v>
      </x:c>
      <x:c r="N19" s="14" t="str">
        <x:v>— long-running operation polling</x:v>
      </x:c>
      <x:c r="O19" s="14" t="str">
        <x:v>△ Limited — selected batch/custom notifications</x:v>
      </x:c>
    </x:row>
    <x:row r="20" ht="36" customHeight="1">
      <x:c r="A20" s="36" t="str">
        <x:v>Audio input</x:v>
      </x:c>
      <x:c r="B20" s="37" t="str">
        <x:v>Raw PCM</x:v>
      </x:c>
      <x:c r="C20" s="38" t="str">
        <x:v>Core</x:v>
      </x:c>
      <x:c r="D20" s="39" t="n">
        <x:f>SUM(--(LEFT(F20,1)="✓"),--(LEFT(G20,1)="✓"),--(LEFT(H20,1)="✓"),--(LEFT(I20,1)="✓"),--(LEFT(J20,1)="✓"),--(LEFT(K20,1)="✓"),--(LEFT(L20,1)="✓"),--(LEFT(M20,1)="✓"),--(LEFT(N20,1)="✓"),--(LEFT(O20,1)="✓"))</x:f>
        <x:v>10</x:v>
      </x:c>
      <x:c r="E20" s="39" t="n">
        <x:f>SUM(--(LEFT(F20,1)="△"),--(LEFT(G20,1)="△"),--(LEFT(H20,1)="△"),--(LEFT(I20,1)="△"),--(LEFT(J20,1)="△"),--(LEFT(K20,1)="△"),--(LEFT(L20,1)="△"),--(LEFT(M20,1)="△"),--(LEFT(N20,1)="△"),--(LEFT(O20,1)="△"))</x:f>
        <x:v>0</x:v>
      </x:c>
      <x:c r="F20" s="37" t="str">
        <x:v>✓ Native — linear16/linear32</x:v>
      </x:c>
      <x:c r="G20" s="37" t="str">
        <x:v>✓ Native — s16le/f32le</x:v>
      </x:c>
      <x:c r="H20" s="37" t="str">
        <x:v>✓ Native — PCM s16le</x:v>
      </x:c>
      <x:c r="I20" s="37" t="str">
        <x:v>✓ Native — PCM multiple rates</x:v>
      </x:c>
      <x:c r="J20" s="37" t="str">
        <x:v>✓ Native — many PCM encodings</x:v>
      </x:c>
      <x:c r="K20" s="37" t="str">
        <x:v>✓ Native — PCM</x:v>
      </x:c>
      <x:c r="L20" s="37" t="str">
        <x:v>✓ Native — PCM 24 kHz shown for Realtime</x:v>
      </x:c>
      <x:c r="M20" s="37" t="str">
        <x:v>✓ Native — s16le/s32le/f16le/f32le</x:v>
      </x:c>
      <x:c r="N20" s="37" t="str">
        <x:v>✓ Native — LINEAR16 and others</x:v>
      </x:c>
      <x:c r="O20" s="37" t="str">
        <x:v>✓ Native — PCM via SDK/REST</x:v>
      </x:c>
    </x:row>
    <x:row r="21" ht="36" customHeight="1">
      <x:c r="A21" s="32" t="str">
        <x:v>Audio input</x:v>
      </x:c>
      <x:c r="B21" s="14" t="str">
        <x:v>G.711 μ-law / A-law</x:v>
      </x:c>
      <x:c r="C21" s="33" t="str">
        <x:v>Core telephony</x:v>
      </x:c>
      <x:c r="D21" s="35" t="n">
        <x:f>SUM(--(LEFT(F21,1)="✓"),--(LEFT(G21,1)="✓"),--(LEFT(H21,1)="✓"),--(LEFT(I21,1)="✓"),--(LEFT(J21,1)="✓"),--(LEFT(K21,1)="✓"),--(LEFT(L21,1)="✓"),--(LEFT(M21,1)="✓"),--(LEFT(N21,1)="✓"),--(LEFT(O21,1)="✓"))</x:f>
        <x:v>8</x:v>
      </x:c>
      <x:c r="E21" s="35" t="n">
        <x:f>SUM(--(LEFT(F21,1)="△"),--(LEFT(G21,1)="△"),--(LEFT(H21,1)="△"),--(LEFT(I21,1)="△"),--(LEFT(J21,1)="△"),--(LEFT(K21,1)="△"),--(LEFT(L21,1)="△"),--(LEFT(M21,1)="△"),--(LEFT(N21,1)="△"),--(LEFT(O21,1)="△"))</x:f>
        <x:v>1</x:v>
      </x:c>
      <x:c r="F21" s="14" t="str">
        <x:v>✓ Native — mulaw/alaw</x:v>
      </x:c>
      <x:c r="G21" s="14" t="str">
        <x:v>✓ Native — mulaw</x:v>
      </x:c>
      <x:c r="H21" s="14" t="str">
        <x:v>✓ Native — mulaw streaming</x:v>
      </x:c>
      <x:c r="I21" s="14" t="str">
        <x:v>△ Limited — ulaw 8 kHz; A-law not live documented</x:v>
      </x:c>
      <x:c r="J21" s="14" t="str">
        <x:v>✓ Native — mulaw/alaw</x:v>
      </x:c>
      <x:c r="K21" s="14" t="str">
        <x:v>✓ Native — mulaw/alaw</x:v>
      </x:c>
      <x:c r="L21" s="14" t="str">
        <x:v>— Realtime guide focuses on PCM</x:v>
      </x:c>
      <x:c r="M21" s="14" t="str">
        <x:v>✓ Native — mulaw/alaw 8 kHz</x:v>
      </x:c>
      <x:c r="N21" s="14" t="str">
        <x:v>✓ Native — MULAW/ALAW</x:v>
      </x:c>
      <x:c r="O21" s="14" t="str">
        <x:v>✓ Native — G.711 through SDK/container</x:v>
      </x:c>
    </x:row>
    <x:row r="22" ht="36" customHeight="1">
      <x:c r="A22" s="32" t="str">
        <x:v>Audio input</x:v>
      </x:c>
      <x:c r="B22" s="14" t="str">
        <x:v>Opus</x:v>
      </x:c>
      <x:c r="C22" s="33" t="str">
        <x:v>Optional codec</x:v>
      </x:c>
      <x:c r="D22" s="35" t="n">
        <x:f>SUM(--(LEFT(F22,1)="✓"),--(LEFT(G22,1)="✓"),--(LEFT(H22,1)="✓"),--(LEFT(I22,1)="✓"),--(LEFT(J22,1)="✓"),--(LEFT(K22,1)="✓"),--(LEFT(L22,1)="✓"),--(LEFT(M22,1)="✓"),--(LEFT(N22,1)="✓"),--(LEFT(O22,1)="✓"))</x:f>
        <x:v>6</x:v>
      </x:c>
      <x:c r="E22" s="35" t="n">
        <x:f>SUM(--(LEFT(F22,1)="△"),--(LEFT(G22,1)="△"),--(LEFT(H22,1)="△"),--(LEFT(I22,1)="△"),--(LEFT(J22,1)="△"),--(LEFT(K22,1)="△"),--(LEFT(L22,1)="△"),--(LEFT(M22,1)="△"),--(LEFT(N22,1)="△"),--(LEFT(O22,1)="△"))</x:f>
        <x:v>1</x:v>
      </x:c>
      <x:c r="F22" s="14" t="str">
        <x:v>✓ Native — Opus/Ogg-Opus</x:v>
      </x:c>
      <x:c r="G22" s="14" t="str">
        <x:v>✓ Native — Ogg containers</x:v>
      </x:c>
      <x:c r="H22" s="14" t="str">
        <x:v>✓ Native — raw/Ogg Opus</x:v>
      </x:c>
      <x:c r="I22" s="14" t="str">
        <x:v>— live formats list PCM/ulaw</x:v>
      </x:c>
      <x:c r="J22" s="14" t="str">
        <x:v>✓ Native — OGG/WebM autodetect</x:v>
      </x:c>
      <x:c r="K22" s="14" t="str">
        <x:v>— live raw codecs PCM/G.711</x:v>
      </x:c>
      <x:c r="L22" s="14" t="str">
        <x:v>△ Limited — WebRTC media negotiates codecs; WS guide uses PCM</x:v>
      </x:c>
      <x:c r="M22" s="14" t="str">
        <x:v>— Ink 2 realtime raw PCM/G.711</x:v>
      </x:c>
      <x:c r="N22" s="14" t="str">
        <x:v>✓ Native — OGG_OPUS/WEBM_OPUS</x:v>
      </x:c>
      <x:c r="O22" s="14" t="str">
        <x:v>✓ Native — compressed input through GStreamer</x:v>
      </x:c>
    </x:row>
    <x:row r="23" ht="36" customHeight="1">
      <x:c r="A23" s="32" t="str">
        <x:v>Audio input</x:v>
      </x:c>
      <x:c r="B23" s="14" t="str">
        <x:v>Compressed/container audio</x:v>
      </x:c>
      <x:c r="C23" s="33" t="str">
        <x:v>Batch core</x:v>
      </x:c>
      <x:c r="D23" s="35" t="n">
        <x:f>SUM(--(LEFT(F23,1)="✓"),--(LEFT(G23,1)="✓"),--(LEFT(H23,1)="✓"),--(LEFT(I23,1)="✓"),--(LEFT(J23,1)="✓"),--(LEFT(K23,1)="✓"),--(LEFT(L23,1)="✓"),--(LEFT(M23,1)="✓"),--(LEFT(N23,1)="✓"),--(LEFT(O23,1)="✓"))</x:f>
        <x:v>10</x:v>
      </x:c>
      <x:c r="E23" s="35" t="n">
        <x:f>SUM(--(LEFT(F23,1)="△"),--(LEFT(G23,1)="△"),--(LEFT(H23,1)="△"),--(LEFT(I23,1)="△"),--(LEFT(J23,1)="△"),--(LEFT(K23,1)="△"),--(LEFT(L23,1)="△"),--(LEFT(M23,1)="△"),--(LEFT(N23,1)="△"),--(LEFT(O23,1)="△"))</x:f>
        <x:v>0</x:v>
      </x:c>
      <x:c r="F23" s="14" t="str">
        <x:v>✓ Native — broad file/container support</x:v>
      </x:c>
      <x:c r="G23" s="14" t="str">
        <x:v>✓ Native — WAV/MP3/AAC/Ogg/FLAC/etc.</x:v>
      </x:c>
      <x:c r="H23" s="14" t="str">
        <x:v>✓ Native — AAC/ADTS + common file formats</x:v>
      </x:c>
      <x:c r="I23" s="14" t="str">
        <x:v>✓ Native — broad batch formats</x:v>
      </x:c>
      <x:c r="J23" s="14" t="str">
        <x:v>✓ Native — AAC/FLAC/MP3/OGG/WAV/WebM</x:v>
      </x:c>
      <x:c r="K23" s="14" t="str">
        <x:v>✓ Native — pre-recorded common formats</x:v>
      </x:c>
      <x:c r="L23" s="14" t="str">
        <x:v>✓ Native — file formats via transcription endpoint</x:v>
      </x:c>
      <x:c r="M23" s="14" t="str">
        <x:v>✓ Native — batch compressed formats</x:v>
      </x:c>
      <x:c r="N23" s="14" t="str">
        <x:v>✓ Native — broad encoded audio support</x:v>
      </x:c>
      <x:c r="O23" s="14" t="str">
        <x:v>✓ Native — compressed audio via SDK/REST</x:v>
      </x:c>
    </x:row>
    <x:row r="24" ht="36" customHeight="1">
      <x:c r="A24" s="32" t="str">
        <x:v>Audio input</x:v>
      </x:c>
      <x:c r="B24" s="14" t="str">
        <x:v>Explicit sample-rate configuration</x:v>
      </x:c>
      <x:c r="C24" s="33" t="str">
        <x:v>Core</x:v>
      </x:c>
      <x:c r="D24" s="35" t="n">
        <x:f>SUM(--(LEFT(F24,1)="✓"),--(LEFT(G24,1)="✓"),--(LEFT(H24,1)="✓"),--(LEFT(I24,1)="✓"),--(LEFT(J24,1)="✓"),--(LEFT(K24,1)="✓"),--(LEFT(L24,1)="✓"),--(LEFT(M24,1)="✓"),--(LEFT(N24,1)="✓"),--(LEFT(O24,1)="✓"))</x:f>
        <x:v>10</x:v>
      </x:c>
      <x:c r="E24" s="35" t="n">
        <x:f>SUM(--(LEFT(F24,1)="△"),--(LEFT(G24,1)="△"),--(LEFT(H24,1)="△"),--(LEFT(I24,1)="△"),--(LEFT(J24,1)="△"),--(LEFT(K24,1)="△"),--(LEFT(L24,1)="△"),--(LEFT(M24,1)="△"),--(LEFT(N24,1)="△"),--(LEFT(O24,1)="△"))</x:f>
        <x:v>0</x:v>
      </x:c>
      <x:c r="F24" s="14" t="str">
        <x:v>✓ Native — required for raw audio</x:v>
      </x:c>
      <x:c r="G24" s="14" t="str">
        <x:v>✓ Native — raw audio config</x:v>
      </x:c>
      <x:c r="H24" s="14" t="str">
        <x:v>✓ Native — 8–96 kHz</x:v>
      </x:c>
      <x:c r="I24" s="14" t="str">
        <x:v>✓ Native — 8–48 kHz options</x:v>
      </x:c>
      <x:c r="J24" s="14" t="str">
        <x:v>✓ Native — raw audio config</x:v>
      </x:c>
      <x:c r="K24" s="14" t="str">
        <x:v>✓ Native — 8/16/32/44.1/48 kHz</x:v>
      </x:c>
      <x:c r="L24" s="14" t="str">
        <x:v>✓ Native — session audio format</x:v>
      </x:c>
      <x:c r="M24" s="14" t="str">
        <x:v>✓ Native — sample_rate parameter</x:v>
      </x:c>
      <x:c r="N24" s="14" t="str">
        <x:v>✓ Native — config / header inference</x:v>
      </x:c>
      <x:c r="O24" s="14" t="str">
        <x:v>✓ Native — stream format / SDK config</x:v>
      </x:c>
    </x:row>
    <x:row r="25" ht="36" customHeight="1">
      <x:c r="A25" s="32" t="str">
        <x:v>Audio input</x:v>
      </x:c>
      <x:c r="B25" s="14" t="str">
        <x:v>Automatic audio-format detection</x:v>
      </x:c>
      <x:c r="C25" s="33" t="str">
        <x:v>Optional</x:v>
      </x:c>
      <x:c r="D25" s="35" t="n">
        <x:f>SUM(--(LEFT(F25,1)="✓"),--(LEFT(G25,1)="✓"),--(LEFT(H25,1)="✓"),--(LEFT(I25,1)="✓"),--(LEFT(J25,1)="✓"),--(LEFT(K25,1)="✓"),--(LEFT(L25,1)="✓"),--(LEFT(M25,1)="✓"),--(LEFT(N25,1)="✓"),--(LEFT(O25,1)="✓"))</x:f>
        <x:v>9</x:v>
      </x:c>
      <x:c r="E25" s="35" t="n">
        <x:f>SUM(--(LEFT(F25,1)="△"),--(LEFT(G25,1)="△"),--(LEFT(H25,1)="△"),--(LEFT(I25,1)="△"),--(LEFT(J25,1)="△"),--(LEFT(K25,1)="△"),--(LEFT(L25,1)="△"),--(LEFT(M25,1)="△"),--(LEFT(N25,1)="△"),--(LEFT(O25,1)="△"))</x:f>
        <x:v>1</x:v>
      </x:c>
      <x:c r="F25" s="14" t="str">
        <x:v>✓ Native — container headers</x:v>
      </x:c>
      <x:c r="G25" s="14" t="str">
        <x:v>✓ Native — file containers</x:v>
      </x:c>
      <x:c r="H25" s="14" t="str">
        <x:v>✓ Native — file/batch detection</x:v>
      </x:c>
      <x:c r="I25" s="14" t="str">
        <x:v>✓ Native — batch file detection</x:v>
      </x:c>
      <x:c r="J25" s="14" t="str">
        <x:v>✓ Native — audio_format=auto</x:v>
      </x:c>
      <x:c r="K25" s="14" t="str">
        <x:v>✓ Native — batch upload detection</x:v>
      </x:c>
      <x:c r="L25" s="14" t="str">
        <x:v>✓ Native — file endpoint</x:v>
      </x:c>
      <x:c r="M25" s="14" t="str">
        <x:v>✓ Native — batch file input</x:v>
      </x:c>
      <x:c r="N25" s="14" t="str">
        <x:v>✓ Native — AutoDetectDecodingConfig</x:v>
      </x:c>
      <x:c r="O25" s="14" t="str">
        <x:v>△ Limited — file/SDK dependent</x:v>
      </x:c>
    </x:row>
    <x:row r="26" ht="36" customHeight="1">
      <x:c r="A26" s="32" t="str">
        <x:v>Audio input</x:v>
      </x:c>
      <x:c r="B26" s="14" t="str">
        <x:v>Multichannel audio</x:v>
      </x:c>
      <x:c r="C26" s="33" t="str">
        <x:v>Optional</x:v>
      </x:c>
      <x:c r="D26" s="35" t="n">
        <x:f>SUM(--(LEFT(F26,1)="✓"),--(LEFT(G26,1)="✓"),--(LEFT(H26,1)="✓"),--(LEFT(I26,1)="✓"),--(LEFT(J26,1)="✓"),--(LEFT(K26,1)="✓"),--(LEFT(L26,1)="✓"),--(LEFT(M26,1)="✓"),--(LEFT(N26,1)="✓"),--(LEFT(O26,1)="✓"))</x:f>
        <x:v>4</x:v>
      </x:c>
      <x:c r="E26" s="35" t="n">
        <x:f>SUM(--(LEFT(F26,1)="△"),--(LEFT(G26,1)="△"),--(LEFT(H26,1)="△"),--(LEFT(I26,1)="△"),--(LEFT(J26,1)="△"),--(LEFT(K26,1)="△"),--(LEFT(L26,1)="△"),--(LEFT(M26,1)="△"),--(LEFT(N26,1)="△"),--(LEFT(O26,1)="△"))</x:f>
        <x:v>3</x:v>
      </x:c>
      <x:c r="F26" s="14" t="str">
        <x:v>✓ Native — independent channel transcripts</x:v>
      </x:c>
      <x:c r="G26" s="14" t="str">
        <x:v>✓ Native — AddChannelAudio</x:v>
      </x:c>
      <x:c r="H26" s="14" t="str">
        <x:v>△ Limited — batch native; realtime separate sockets recommended</x:v>
      </x:c>
      <x:c r="I26" s="14" t="str">
        <x:v>△ Limited — batch up to 5 channels; realtime mono only</x:v>
      </x:c>
      <x:c r="J26" s="14" t="str">
        <x:v>— no channel-index response documented</x:v>
      </x:c>
      <x:c r="K26" s="14" t="str">
        <x:v>✓ Native — 1–8 channels</x:v>
      </x:c>
      <x:c r="L26" s="14" t="str">
        <x:v>— Realtime transcription channel labels not documented</x:v>
      </x:c>
      <x:c r="M26" s="14" t="str">
        <x:v>✕ Explicitly unsupported — Ink 2 realtime mono only</x:v>
      </x:c>
      <x:c r="N26" s="14" t="str">
        <x:v>✓ Native — up to 8 channels, model dependent</x:v>
      </x:c>
      <x:c r="O26" s="14" t="str">
        <x:v>△ Limited — batch stereo; standard realtime effectively mono</x:v>
      </x:c>
    </x:row>
    <x:row r="27" ht="36" customHeight="1">
      <x:c r="A27" s="32" t="str">
        <x:v>Audio input</x:v>
      </x:c>
      <x:c r="B27" s="14" t="str">
        <x:v>Per-channel recognition / labels</x:v>
      </x:c>
      <x:c r="C27" s="33" t="str">
        <x:v>Optional</x:v>
      </x:c>
      <x:c r="D27" s="35" t="n">
        <x:f>SUM(--(LEFT(F27,1)="✓"),--(LEFT(G27,1)="✓"),--(LEFT(H27,1)="✓"),--(LEFT(I27,1)="✓"),--(LEFT(J27,1)="✓"),--(LEFT(K27,1)="✓"),--(LEFT(L27,1)="✓"),--(LEFT(M27,1)="✓"),--(LEFT(N27,1)="✓"),--(LEFT(O27,1)="✓"))</x:f>
        <x:v>5</x:v>
      </x:c>
      <x:c r="E27" s="35" t="n">
        <x:f>SUM(--(LEFT(F27,1)="△"),--(LEFT(G27,1)="△"),--(LEFT(H27,1)="△"),--(LEFT(I27,1)="△"),--(LEFT(J27,1)="△"),--(LEFT(K27,1)="△"),--(LEFT(L27,1)="△"),--(LEFT(M27,1)="△"),--(LEFT(N27,1)="△"),--(LEFT(O27,1)="△"))</x:f>
        <x:v>2</x:v>
      </x:c>
      <x:c r="F27" s="14" t="str">
        <x:v>✓ Native — channel_index</x:v>
      </x:c>
      <x:c r="G27" s="14" t="str">
        <x:v>✓ Native — channel labels</x:v>
      </x:c>
      <x:c r="H27" s="14" t="str">
        <x:v>△ Limited — batch channel separation</x:v>
      </x:c>
      <x:c r="I27" s="14" t="str">
        <x:v>✓ Native — batch channel index</x:v>
      </x:c>
      <x:c r="J27" s="14" t="str">
        <x:v>— No public support documented</x:v>
      </x:c>
      <x:c r="K27" s="14" t="str">
        <x:v>✓ Native — channel attribution</x:v>
      </x:c>
      <x:c r="L27" s="14" t="str">
        <x:v>— No public support documented</x:v>
      </x:c>
      <x:c r="M27" s="14" t="str">
        <x:v>— No public support documented</x:v>
      </x:c>
      <x:c r="N27" s="14" t="str">
        <x:v>✓ Native — channel_tag / separate recognition</x:v>
      </x:c>
      <x:c r="O27" s="14" t="str">
        <x:v>△ Limited — batch channel support</x:v>
      </x:c>
    </x:row>
    <x:row r="28" ht="36" customHeight="1">
      <x:c r="A28" s="32" t="str">
        <x:v>Audio input</x:v>
      </x:c>
      <x:c r="B28" s="14" t="str">
        <x:v>URL / cloud-storage audio input</x:v>
      </x:c>
      <x:c r="C28" s="33" t="str">
        <x:v>Batch optional</x:v>
      </x:c>
      <x:c r="D28" s="35" t="n">
        <x:f>SUM(--(LEFT(F28,1)="✓"),--(LEFT(G28,1)="✓"),--(LEFT(H28,1)="✓"),--(LEFT(I28,1)="✓"),--(LEFT(J28,1)="✓"),--(LEFT(K28,1)="✓"),--(LEFT(L28,1)="✓"),--(LEFT(M28,1)="✓"),--(LEFT(N28,1)="✓"),--(LEFT(O28,1)="✓"))</x:f>
        <x:v>8</x:v>
      </x:c>
      <x:c r="E28" s="35" t="n">
        <x:f>SUM(--(LEFT(F28,1)="△"),--(LEFT(G28,1)="△"),--(LEFT(H28,1)="△"),--(LEFT(I28,1)="△"),--(LEFT(J28,1)="△"),--(LEFT(K28,1)="△"),--(LEFT(L28,1)="△"),--(LEFT(M28,1)="△"),--(LEFT(N28,1)="△"),--(LEFT(O28,1)="△"))</x:f>
        <x:v>2</x:v>
      </x:c>
      <x:c r="F28" s="14" t="str">
        <x:v>✓ Native — URL callback/source options</x:v>
      </x:c>
      <x:c r="G28" s="14" t="str">
        <x:v>✓ Native — job/file upload patterns</x:v>
      </x:c>
      <x:c r="H28" s="14" t="str">
        <x:v>✓ Native — audio_url</x:v>
      </x:c>
      <x:c r="I28" s="14" t="str">
        <x:v>✓ Native — cloud URL in batch request</x:v>
      </x:c>
      <x:c r="J28" s="14" t="str">
        <x:v>✓ Native — file URL in async API</x:v>
      </x:c>
      <x:c r="K28" s="14" t="str">
        <x:v>✓ Native — URL upload workflow</x:v>
      </x:c>
      <x:c r="L28" s="14" t="str">
        <x:v>△ Limited — client fetch/upload required for normal file endpoint</x:v>
      </x:c>
      <x:c r="M28" s="14" t="str">
        <x:v>△ Limited — client upload</x:v>
      </x:c>
      <x:c r="N28" s="14" t="str">
        <x:v>✓ Native — GCS URI for batch</x:v>
      </x:c>
      <x:c r="O28" s="14" t="str">
        <x:v>✓ Native — URL/SAS inputs for batch</x:v>
      </x:c>
    </x:row>
    <x:row r="29" ht="36" customHeight="1">
      <x:c r="A29" s="36" t="str">
        <x:v>Results &amp; events</x:v>
      </x:c>
      <x:c r="B29" s="37" t="str">
        <x:v>Interim / partial transcript</x:v>
      </x:c>
      <x:c r="C29" s="38" t="str">
        <x:v>Core</x:v>
      </x:c>
      <x:c r="D29" s="39" t="n">
        <x:f>SUM(--(LEFT(F29,1)="✓"),--(LEFT(G29,1)="✓"),--(LEFT(H29,1)="✓"),--(LEFT(I29,1)="✓"),--(LEFT(J29,1)="✓"),--(LEFT(K29,1)="✓"),--(LEFT(L29,1)="✓"),--(LEFT(M29,1)="✓"),--(LEFT(N29,1)="✓"),--(LEFT(O29,1)="✓"))</x:f>
        <x:v>10</x:v>
      </x:c>
      <x:c r="E29" s="39" t="n">
        <x:f>SUM(--(LEFT(F29,1)="△"),--(LEFT(G29,1)="△"),--(LEFT(H29,1)="△"),--(LEFT(I29,1)="△"),--(LEFT(J29,1)="△"),--(LEFT(K29,1)="△"),--(LEFT(L29,1)="△"),--(LEFT(M29,1)="△"),--(LEFT(N29,1)="△"),--(LEFT(O29,1)="△"))</x:f>
        <x:v>0</x:v>
      </x:c>
      <x:c r="F29" s="37" t="str">
        <x:v>✓ Native — interim_results</x:v>
      </x:c>
      <x:c r="G29" s="37" t="str">
        <x:v>✓ Native — AddPartialTranscript</x:v>
      </x:c>
      <x:c r="H29" s="37" t="str">
        <x:v>✓ Native — Turn events/revisions</x:v>
      </x:c>
      <x:c r="I29" s="37" t="str">
        <x:v>✓ Native — partial_transcript</x:v>
      </x:c>
      <x:c r="J29" s="37" t="str">
        <x:v>✓ Native — non-final tokens</x:v>
      </x:c>
      <x:c r="K29" s="37" t="str">
        <x:v>✓ Native — is_final=false</x:v>
      </x:c>
      <x:c r="L29" s="37" t="str">
        <x:v>✓ Native — transcript.delta</x:v>
      </x:c>
      <x:c r="M29" s="37" t="str">
        <x:v>✓ Native — manual endpoint chunks; auto turn updates</x:v>
      </x:c>
      <x:c r="N29" s="37" t="str">
        <x:v>✓ Native — is_final=false + stability</x:v>
      </x:c>
      <x:c r="O29" s="37" t="str">
        <x:v>✓ Native — Recognizing event</x:v>
      </x:c>
    </x:row>
    <x:row r="30" ht="36" customHeight="1">
      <x:c r="A30" s="32" t="str">
        <x:v>Results &amp; events</x:v>
      </x:c>
      <x:c r="B30" s="14" t="str">
        <x:v>Final transcript</x:v>
      </x:c>
      <x:c r="C30" s="33" t="str">
        <x:v>Core</x:v>
      </x:c>
      <x:c r="D30" s="35" t="n">
        <x:f>SUM(--(LEFT(F30,1)="✓"),--(LEFT(G30,1)="✓"),--(LEFT(H30,1)="✓"),--(LEFT(I30,1)="✓"),--(LEFT(J30,1)="✓"),--(LEFT(K30,1)="✓"),--(LEFT(L30,1)="✓"),--(LEFT(M30,1)="✓"),--(LEFT(N30,1)="✓"),--(LEFT(O30,1)="✓"))</x:f>
        <x:v>10</x:v>
      </x:c>
      <x:c r="E30" s="35" t="n">
        <x:f>SUM(--(LEFT(F30,1)="△"),--(LEFT(G30,1)="△"),--(LEFT(H30,1)="△"),--(LEFT(I30,1)="△"),--(LEFT(J30,1)="△"),--(LEFT(K30,1)="△"),--(LEFT(L30,1)="△"),--(LEFT(M30,1)="△"),--(LEFT(N30,1)="△"),--(LEFT(O30,1)="△"))</x:f>
        <x:v>0</x:v>
      </x:c>
      <x:c r="F30" s="14" t="str">
        <x:v>✓ Native — is_final / speech_final</x:v>
      </x:c>
      <x:c r="G30" s="14" t="str">
        <x:v>✓ Native — AddTranscript</x:v>
      </x:c>
      <x:c r="H30" s="14" t="str">
        <x:v>✓ Native — final Turn</x:v>
      </x:c>
      <x:c r="I30" s="14" t="str">
        <x:v>✓ Native — final_transcript</x:v>
      </x:c>
      <x:c r="J30" s="14" t="str">
        <x:v>✓ Native — is_final tokens</x:v>
      </x:c>
      <x:c r="K30" s="14" t="str">
        <x:v>✓ Native — is_final=true</x:v>
      </x:c>
      <x:c r="L30" s="14" t="str">
        <x:v>✓ Native — transcription.completed</x:v>
      </x:c>
      <x:c r="M30" s="14" t="str">
        <x:v>✓ Native — is_final / turn.end</x:v>
      </x:c>
      <x:c r="N30" s="14" t="str">
        <x:v>✓ Native — is_final=true</x:v>
      </x:c>
      <x:c r="O30" s="14" t="str">
        <x:v>✓ Native — Recognized event</x:v>
      </x:c>
    </x:row>
    <x:row r="31" ht="36" customHeight="1">
      <x:c r="A31" s="32" t="str">
        <x:v>Results &amp; events</x:v>
      </x:c>
      <x:c r="B31" s="14" t="str">
        <x:v>Immutable committed segment</x:v>
      </x:c>
      <x:c r="C31" s="33" t="str">
        <x:v>Core</x:v>
      </x:c>
      <x:c r="D31" s="35" t="n">
        <x:f>SUM(--(LEFT(F31,1)="✓"),--(LEFT(G31,1)="✓"),--(LEFT(H31,1)="✓"),--(LEFT(I31,1)="✓"),--(LEFT(J31,1)="✓"),--(LEFT(K31,1)="✓"),--(LEFT(L31,1)="✓"),--(LEFT(M31,1)="✓"),--(LEFT(N31,1)="✓"),--(LEFT(O31,1)="✓"))</x:f>
        <x:v>10</x:v>
      </x:c>
      <x:c r="E31" s="35" t="n">
        <x:f>SUM(--(LEFT(F31,1)="△"),--(LEFT(G31,1)="△"),--(LEFT(H31,1)="△"),--(LEFT(I31,1)="△"),--(LEFT(J31,1)="△"),--(LEFT(K31,1)="△"),--(LEFT(L31,1)="△"),--(LEFT(M31,1)="△"),--(LEFT(N31,1)="△"),--(LEFT(O31,1)="△"))</x:f>
        <x:v>0</x:v>
      </x:c>
      <x:c r="F31" s="14" t="str">
        <x:v>✓ Native — finalized results</x:v>
      </x:c>
      <x:c r="G31" s="14" t="str">
        <x:v>✓ Native — final transcript</x:v>
      </x:c>
      <x:c r="H31" s="14" t="str">
        <x:v>✓ Native — final turn</x:v>
      </x:c>
      <x:c r="I31" s="14" t="str">
        <x:v>✓ Native — committed_transcript</x:v>
      </x:c>
      <x:c r="J31" s="14" t="str">
        <x:v>✓ Native — final tokens</x:v>
      </x:c>
      <x:c r="K31" s="14" t="str">
        <x:v>✓ Native — final utterance</x:v>
      </x:c>
      <x:c r="L31" s="14" t="str">
        <x:v>✓ Native — completed item</x:v>
      </x:c>
      <x:c r="M31" s="14" t="str">
        <x:v>✓ Native — auto-turn text never revised</x:v>
      </x:c>
      <x:c r="N31" s="14" t="str">
        <x:v>✓ Native — final result</x:v>
      </x:c>
      <x:c r="O31" s="14" t="str">
        <x:v>✓ Native — final recognition result</x:v>
      </x:c>
    </x:row>
    <x:row r="32" ht="36" customHeight="1">
      <x:c r="A32" s="32" t="str">
        <x:v>Results &amp; events</x:v>
      </x:c>
      <x:c r="B32" s="14" t="str">
        <x:v>Manual commit / finalize / flush</x:v>
      </x:c>
      <x:c r="C32" s="33" t="str">
        <x:v>Core</x:v>
      </x:c>
      <x:c r="D32" s="35" t="n">
        <x:f>SUM(--(LEFT(F32,1)="✓"),--(LEFT(G32,1)="✓"),--(LEFT(H32,1)="✓"),--(LEFT(I32,1)="✓"),--(LEFT(J32,1)="✓"),--(LEFT(K32,1)="✓"),--(LEFT(L32,1)="✓"),--(LEFT(M32,1)="✓"),--(LEFT(N32,1)="✓"),--(LEFT(O32,1)="✓"))</x:f>
        <x:v>7</x:v>
      </x:c>
      <x:c r="E32" s="35" t="n">
        <x:f>SUM(--(LEFT(F32,1)="△"),--(LEFT(G32,1)="△"),--(LEFT(H32,1)="△"),--(LEFT(I32,1)="△"),--(LEFT(J32,1)="△"),--(LEFT(K32,1)="△"),--(LEFT(L32,1)="△"),--(LEFT(M32,1)="△"),--(LEFT(N32,1)="△"),--(LEFT(O32,1)="△"))</x:f>
        <x:v>3</x:v>
      </x:c>
      <x:c r="F32" s="14" t="str">
        <x:v>✓ Native — Finalize; continue or close</x:v>
      </x:c>
      <x:c r="G32" s="14" t="str">
        <x:v>✓ Native — ForceEndOfUtterance / EndOfStream</x:v>
      </x:c>
      <x:c r="H32" s="14" t="str">
        <x:v>✓ Native — ForceEndpoint / Terminate</x:v>
      </x:c>
      <x:c r="I32" s="14" t="str">
        <x:v>✓ Native — commit=true</x:v>
      </x:c>
      <x:c r="J32" s="14" t="str">
        <x:v>✓ Native — finalize emits &lt;fin&gt; and continues</x:v>
      </x:c>
      <x:c r="K32" s="14" t="str">
        <x:v>△ Limited — stop_recording ends session; no per-turn commit</x:v>
      </x:c>
      <x:c r="L32" s="14" t="str">
        <x:v>✓ Native — input_audio_buffer.commit</x:v>
      </x:c>
      <x:c r="M32" s="14" t="str">
        <x:v>✓ Native — finalize command; close drains</x:v>
      </x:c>
      <x:c r="N32" s="14" t="str">
        <x:v>△ Limited — half-close stream; no per-turn commit</x:v>
      </x:c>
      <x:c r="O32" s="14" t="str">
        <x:v>△ Limited — stop/close input; no per-turn commit</x:v>
      </x:c>
    </x:row>
    <x:row r="33" ht="36" customHeight="1">
      <x:c r="A33" s="32" t="str">
        <x:v>Results &amp; events</x:v>
      </x:c>
      <x:c r="B33" s="14" t="str">
        <x:v>Word timestamps</x:v>
      </x:c>
      <x:c r="C33" s="33" t="str">
        <x:v>Core</x:v>
      </x:c>
      <x:c r="D33" s="35" t="n">
        <x:f>SUM(--(LEFT(F33,1)="✓"),--(LEFT(G33,1)="✓"),--(LEFT(H33,1)="✓"),--(LEFT(I33,1)="✓"),--(LEFT(J33,1)="✓"),--(LEFT(K33,1)="✓"),--(LEFT(L33,1)="✓"),--(LEFT(M33,1)="✓"),--(LEFT(N33,1)="✓"),--(LEFT(O33,1)="✓"))</x:f>
        <x:v>9</x:v>
      </x:c>
      <x:c r="E33" s="35" t="n">
        <x:f>SUM(--(LEFT(F33,1)="△"),--(LEFT(G33,1)="△"),--(LEFT(H33,1)="△"),--(LEFT(I33,1)="△"),--(LEFT(J33,1)="△"),--(LEFT(K33,1)="△"),--(LEFT(L33,1)="△"),--(LEFT(M33,1)="△"),--(LEFT(N33,1)="△"),--(LEFT(O33,1)="△"))</x:f>
        <x:v>1</x:v>
      </x:c>
      <x:c r="F33" s="14" t="str">
        <x:v>✓ Native — start/end per word</x:v>
      </x:c>
      <x:c r="G33" s="14" t="str">
        <x:v>✓ Native — word/punctuation timing</x:v>
      </x:c>
      <x:c r="H33" s="14" t="str">
        <x:v>✓ Native — word timing</x:v>
      </x:c>
      <x:c r="I33" s="14" t="str">
        <x:v>✓ Native — word + character timing</x:v>
      </x:c>
      <x:c r="J33" s="14" t="str">
        <x:v>✓ Native — token timing</x:v>
      </x:c>
      <x:c r="K33" s="14" t="str">
        <x:v>✓ Native — word timing</x:v>
      </x:c>
      <x:c r="L33" s="14" t="str">
        <x:v>△ Limited — file whisper-1 only; live model lacks word timing</x:v>
      </x:c>
      <x:c r="M33" s="14" t="str">
        <x:v>✓ Native — manual streaming + batch</x:v>
      </x:c>
      <x:c r="N33" s="14" t="str">
        <x:v>✓ Native — optional word offsets</x:v>
      </x:c>
      <x:c r="O33" s="14" t="str">
        <x:v>✓ Native — optional word offsets/durations</x:v>
      </x:c>
    </x:row>
    <x:row r="34" ht="36" customHeight="1">
      <x:c r="A34" s="32" t="str">
        <x:v>Results &amp; events</x:v>
      </x:c>
      <x:c r="B34" s="14" t="str">
        <x:v>Utterance / segment timestamps</x:v>
      </x:c>
      <x:c r="C34" s="33" t="str">
        <x:v>Core</x:v>
      </x:c>
      <x:c r="D34" s="35" t="n">
        <x:f>SUM(--(LEFT(F34,1)="✓"),--(LEFT(G34,1)="✓"),--(LEFT(H34,1)="✓"),--(LEFT(I34,1)="✓"),--(LEFT(J34,1)="✓"),--(LEFT(K34,1)="✓"),--(LEFT(L34,1)="✓"),--(LEFT(M34,1)="✓"),--(LEFT(N34,1)="✓"),--(LEFT(O34,1)="✓"))</x:f>
        <x:v>10</x:v>
      </x:c>
      <x:c r="E34" s="35" t="n">
        <x:f>SUM(--(LEFT(F34,1)="△"),--(LEFT(G34,1)="△"),--(LEFT(H34,1)="△"),--(LEFT(I34,1)="△"),--(LEFT(J34,1)="△"),--(LEFT(K34,1)="△"),--(LEFT(L34,1)="△"),--(LEFT(M34,1)="△"),--(LEFT(N34,1)="△"),--(LEFT(O34,1)="△"))</x:f>
        <x:v>0</x:v>
      </x:c>
      <x:c r="F34" s="14" t="str">
        <x:v>✓ Native — result timing</x:v>
      </x:c>
      <x:c r="G34" s="14" t="str">
        <x:v>✓ Native — segment timing</x:v>
      </x:c>
      <x:c r="H34" s="14" t="str">
        <x:v>✓ Native — turn timing</x:v>
      </x:c>
      <x:c r="I34" s="14" t="str">
        <x:v>✓ Native — transcript event timing</x:v>
      </x:c>
      <x:c r="J34" s="14" t="str">
        <x:v>✓ Native — token spans/fin markers</x:v>
      </x:c>
      <x:c r="K34" s="14" t="str">
        <x:v>✓ Native — utterance timing</x:v>
      </x:c>
      <x:c r="L34" s="14" t="str">
        <x:v>✓ Native — Realtime item/event timing</x:v>
      </x:c>
      <x:c r="M34" s="14" t="str">
        <x:v>✓ Native — turn events</x:v>
      </x:c>
      <x:c r="N34" s="14" t="str">
        <x:v>✓ Native — result_end_offset</x:v>
      </x:c>
      <x:c r="O34" s="14" t="str">
        <x:v>✓ Native — offset/duration</x:v>
      </x:c>
    </x:row>
    <x:row r="35" ht="36" customHeight="1">
      <x:c r="A35" s="32" t="str">
        <x:v>Results &amp; events</x:v>
      </x:c>
      <x:c r="B35" s="14" t="str">
        <x:v>Word confidence</x:v>
      </x:c>
      <x:c r="C35" s="33" t="str">
        <x:v>Optional</x:v>
      </x:c>
      <x:c r="D35" s="35" t="n">
        <x:f>SUM(--(LEFT(F35,1)="✓"),--(LEFT(G35,1)="✓"),--(LEFT(H35,1)="✓"),--(LEFT(I35,1)="✓"),--(LEFT(J35,1)="✓"),--(LEFT(K35,1)="✓"),--(LEFT(L35,1)="✓"),--(LEFT(M35,1)="✓"),--(LEFT(N35,1)="✓"),--(LEFT(O35,1)="✓"))</x:f>
        <x:v>7</x:v>
      </x:c>
      <x:c r="E35" s="35" t="n">
        <x:f>SUM(--(LEFT(F35,1)="△"),--(LEFT(G35,1)="△"),--(LEFT(H35,1)="△"),--(LEFT(I35,1)="△"),--(LEFT(J35,1)="△"),--(LEFT(K35,1)="△"),--(LEFT(L35,1)="△"),--(LEFT(M35,1)="△"),--(LEFT(N35,1)="△"),--(LEFT(O35,1)="△"))</x:f>
        <x:v>1</x:v>
      </x:c>
      <x:c r="F35" s="14" t="str">
        <x:v>✓ Native — per-word confidence</x:v>
      </x:c>
      <x:c r="G35" s="14" t="str">
        <x:v>✓ Native — alternative/word confidence</x:v>
      </x:c>
      <x:c r="H35" s="14" t="str">
        <x:v>✓ Native — per-word confidence</x:v>
      </x:c>
      <x:c r="I35" s="14" t="str">
        <x:v>△ Limited — word log-probability, not normalized confidence</x:v>
      </x:c>
      <x:c r="J35" s="14" t="str">
        <x:v>✓ Native — token confidence</x:v>
      </x:c>
      <x:c r="K35" s="14" t="str">
        <x:v>✓ Native — word confidence</x:v>
      </x:c>
      <x:c r="L35" s="14" t="str">
        <x:v>✕ Explicitly unsupported — unavailable for gpt-live-transcribe</x:v>
      </x:c>
      <x:c r="M35" s="14" t="str">
        <x:v>— No public support documented</x:v>
      </x:c>
      <x:c r="N35" s="14" t="str">
        <x:v>✓ Native — optional word confidence</x:v>
      </x:c>
      <x:c r="O35" s="14" t="str">
        <x:v>✓ Native — detailed output; unavailable with semantic segmentation</x:v>
      </x:c>
    </x:row>
    <x:row r="36" ht="36" customHeight="1">
      <x:c r="A36" s="32" t="str">
        <x:v>Results &amp; events</x:v>
      </x:c>
      <x:c r="B36" s="14" t="str">
        <x:v>Utterance / transcript confidence</x:v>
      </x:c>
      <x:c r="C36" s="33" t="str">
        <x:v>Optional</x:v>
      </x:c>
      <x:c r="D36" s="35" t="n">
        <x:f>SUM(--(LEFT(F36,1)="✓"),--(LEFT(G36,1)="✓"),--(LEFT(H36,1)="✓"),--(LEFT(I36,1)="✓"),--(LEFT(J36,1)="✓"),--(LEFT(K36,1)="✓"),--(LEFT(L36,1)="✓"),--(LEFT(M36,1)="✓"),--(LEFT(N36,1)="✓"),--(LEFT(O36,1)="✓"))</x:f>
        <x:v>6</x:v>
      </x:c>
      <x:c r="E36" s="35" t="n">
        <x:f>SUM(--(LEFT(F36,1)="△"),--(LEFT(G36,1)="△"),--(LEFT(H36,1)="△"),--(LEFT(I36,1)="△"),--(LEFT(J36,1)="△"),--(LEFT(K36,1)="△"),--(LEFT(L36,1)="△"),--(LEFT(M36,1)="△"),--(LEFT(N36,1)="△"),--(LEFT(O36,1)="△"))</x:f>
        <x:v>1</x:v>
      </x:c>
      <x:c r="F36" s="14" t="str">
        <x:v>✓ Native — transcript confidence</x:v>
      </x:c>
      <x:c r="G36" s="14" t="str">
        <x:v>✓ Native — alternative confidence</x:v>
      </x:c>
      <x:c r="H36" s="14" t="str">
        <x:v>✓ Native — end-of-turn confidence</x:v>
      </x:c>
      <x:c r="I36" s="14" t="str">
        <x:v>— No public support documented</x:v>
      </x:c>
      <x:c r="J36" s="14" t="str">
        <x:v>△ Limited — token confidence only</x:v>
      </x:c>
      <x:c r="K36" s="14" t="str">
        <x:v>✓ Native — utterance confidence</x:v>
      </x:c>
      <x:c r="L36" s="14" t="str">
        <x:v>— No public support documented</x:v>
      </x:c>
      <x:c r="M36" s="14" t="str">
        <x:v>— No public support documented</x:v>
      </x:c>
      <x:c r="N36" s="14" t="str">
        <x:v>✓ Native — top-alternative confidence</x:v>
      </x:c>
      <x:c r="O36" s="14" t="str">
        <x:v>✓ Native — detailed output</x:v>
      </x:c>
    </x:row>
    <x:row r="37" ht="36" customHeight="1">
      <x:c r="A37" s="32" t="str">
        <x:v>Results &amp; events</x:v>
      </x:c>
      <x:c r="B37" s="14" t="str">
        <x:v>N-best alternatives</x:v>
      </x:c>
      <x:c r="C37" s="33" t="str">
        <x:v>Optional</x:v>
      </x:c>
      <x:c r="D37" s="35" t="n">
        <x:f>SUM(--(LEFT(F37,1)="✓"),--(LEFT(G37,1)="✓"),--(LEFT(H37,1)="✓"),--(LEFT(I37,1)="✓"),--(LEFT(J37,1)="✓"),--(LEFT(K37,1)="✓"),--(LEFT(L37,1)="✓"),--(LEFT(M37,1)="✓"),--(LEFT(N37,1)="✓"),--(LEFT(O37,1)="✓"))</x:f>
        <x:v>2</x:v>
      </x:c>
      <x:c r="E37" s="35" t="n">
        <x:f>SUM(--(LEFT(F37,1)="△"),--(LEFT(G37,1)="△"),--(LEFT(H37,1)="△"),--(LEFT(I37,1)="△"),--(LEFT(J37,1)="△"),--(LEFT(K37,1)="△"),--(LEFT(L37,1)="△"),--(LEFT(M37,1)="△"),--(LEFT(N37,1)="△"),--(LEFT(O37,1)="△"))</x:f>
        <x:v>1</x:v>
      </x:c>
      <x:c r="F37" s="14" t="str">
        <x:v>✕ Explicitly unsupported — only best transcript returned</x:v>
      </x:c>
      <x:c r="G37" s="14" t="str">
        <x:v>△ Limited — alternative arrays; no max-N knob guaranteed</x:v>
      </x:c>
      <x:c r="H37" s="14" t="str">
        <x:v>— No public support documented</x:v>
      </x:c>
      <x:c r="I37" s="14" t="str">
        <x:v>— No public support documented</x:v>
      </x:c>
      <x:c r="J37" s="14" t="str">
        <x:v>— No public support documented</x:v>
      </x:c>
      <x:c r="K37" s="14" t="str">
        <x:v>— No public support documented</x:v>
      </x:c>
      <x:c r="L37" s="14" t="str">
        <x:v>— No public support documented</x:v>
      </x:c>
      <x:c r="M37" s="14" t="str">
        <x:v>— No public support documented</x:v>
      </x:c>
      <x:c r="N37" s="14" t="str">
        <x:v>✓ Native — max_alternatives up to 30</x:v>
      </x:c>
      <x:c r="O37" s="14" t="str">
        <x:v>✓ Native — detailed output NBest</x:v>
      </x:c>
    </x:row>
    <x:row r="38" ht="36" customHeight="1">
      <x:c r="A38" s="32" t="str">
        <x:v>Results &amp; events</x:v>
      </x:c>
      <x:c r="B38" s="14" t="str">
        <x:v>Speech-start event</x:v>
      </x:c>
      <x:c r="C38" s="33" t="str">
        <x:v>Core</x:v>
      </x:c>
      <x:c r="D38" s="35" t="n">
        <x:f>SUM(--(LEFT(F38,1)="✓"),--(LEFT(G38,1)="✓"),--(LEFT(H38,1)="✓"),--(LEFT(I38,1)="✓"),--(LEFT(J38,1)="✓"),--(LEFT(K38,1)="✓"),--(LEFT(L38,1)="✓"),--(LEFT(M38,1)="✓"),--(LEFT(N38,1)="✓"),--(LEFT(O38,1)="✓"))</x:f>
        <x:v>6</x:v>
      </x:c>
      <x:c r="E38" s="35" t="n">
        <x:f>SUM(--(LEFT(F38,1)="△"),--(LEFT(G38,1)="△"),--(LEFT(H38,1)="△"),--(LEFT(I38,1)="△"),--(LEFT(J38,1)="△"),--(LEFT(K38,1)="△"),--(LEFT(L38,1)="△"),--(LEFT(M38,1)="△"),--(LEFT(N38,1)="△"),--(LEFT(O38,1)="△"))</x:f>
        <x:v>0</x:v>
      </x:c>
      <x:c r="F38" s="14" t="str">
        <x:v>✓ Native — SpeechStarted / Flux turn start</x:v>
      </x:c>
      <x:c r="G38" s="14" t="str">
        <x:v>— no distinct start event documented</x:v>
      </x:c>
      <x:c r="H38" s="14" t="str">
        <x:v>✓ Native — SpeechStarted</x:v>
      </x:c>
      <x:c r="I38" s="14" t="str">
        <x:v>— VAD acts internally; no distinct event</x:v>
      </x:c>
      <x:c r="J38" s="14" t="str">
        <x:v>— No public support documented</x:v>
      </x:c>
      <x:c r="K38" s="14" t="str">
        <x:v>✓ Native — speech_start per channel</x:v>
      </x:c>
      <x:c r="L38" s="14" t="str">
        <x:v>✓ Native — input_audio_buffer.speech_started</x:v>
      </x:c>
      <x:c r="M38" s="14" t="str">
        <x:v>✓ Native — turn.start</x:v>
      </x:c>
      <x:c r="N38" s="14" t="str">
        <x:v>✓ Native — SPEECH_ACTIVITY_BEGIN</x:v>
      </x:c>
      <x:c r="O38" s="14" t="str">
        <x:v>— no comparable standard event documented</x:v>
      </x:c>
    </x:row>
    <x:row r="39" ht="36" customHeight="1">
      <x:c r="A39" s="32" t="str">
        <x:v>Results &amp; events</x:v>
      </x:c>
      <x:c r="B39" s="14" t="str">
        <x:v>Speech-stop / end event</x:v>
      </x:c>
      <x:c r="C39" s="33" t="str">
        <x:v>Core</x:v>
      </x:c>
      <x:c r="D39" s="35" t="n">
        <x:f>SUM(--(LEFT(F39,1)="✓"),--(LEFT(G39,1)="✓"),--(LEFT(H39,1)="✓"),--(LEFT(I39,1)="✓"),--(LEFT(J39,1)="✓"),--(LEFT(K39,1)="✓"),--(LEFT(L39,1)="✓"),--(LEFT(M39,1)="✓"),--(LEFT(N39,1)="✓"),--(LEFT(O39,1)="✓"))</x:f>
        <x:v>8</x:v>
      </x:c>
      <x:c r="E39" s="35" t="n">
        <x:f>SUM(--(LEFT(F39,1)="△"),--(LEFT(G39,1)="△"),--(LEFT(H39,1)="△"),--(LEFT(I39,1)="△"),--(LEFT(J39,1)="△"),--(LEFT(K39,1)="△"),--(LEFT(L39,1)="△"),--(LEFT(M39,1)="△"),--(LEFT(N39,1)="△"),--(LEFT(O39,1)="△"))</x:f>
        <x:v>1</x:v>
      </x:c>
      <x:c r="F39" s="14" t="str">
        <x:v>✓ Native — speech_final / EOT</x:v>
      </x:c>
      <x:c r="G39" s="14" t="str">
        <x:v>✓ Native — EndOfUtterance</x:v>
      </x:c>
      <x:c r="H39" s="14" t="str">
        <x:v>✓ Native — end_of_turn</x:v>
      </x:c>
      <x:c r="I39" s="14" t="str">
        <x:v>— final event only</x:v>
      </x:c>
      <x:c r="J39" s="14" t="str">
        <x:v>✓ Native — &lt;end&gt; endpoint token</x:v>
      </x:c>
      <x:c r="K39" s="14" t="str">
        <x:v>✓ Native — speech_end per channel</x:v>
      </x:c>
      <x:c r="L39" s="14" t="str">
        <x:v>✓ Native — input_audio_buffer.speech_stopped</x:v>
      </x:c>
      <x:c r="M39" s="14" t="str">
        <x:v>✓ Native — turn.end</x:v>
      </x:c>
      <x:c r="N39" s="14" t="str">
        <x:v>✓ Native — SPEECH_ACTIVITY_END</x:v>
      </x:c>
      <x:c r="O39" s="14" t="str">
        <x:v>△ Limited — recognized/segmentation event</x:v>
      </x:c>
    </x:row>
    <x:row r="40" ht="36" customHeight="1">
      <x:c r="A40" s="32" t="str">
        <x:v>Results &amp; events</x:v>
      </x:c>
      <x:c r="B40" s="14" t="str">
        <x:v>Machine-readable errors and usage</x:v>
      </x:c>
      <x:c r="C40" s="33" t="str">
        <x:v>Core</x:v>
      </x:c>
      <x:c r="D40" s="35" t="n">
        <x:f>SUM(--(LEFT(F40,1)="✓"),--(LEFT(G40,1)="✓"),--(LEFT(H40,1)="✓"),--(LEFT(I40,1)="✓"),--(LEFT(J40,1)="✓"),--(LEFT(K40,1)="✓"),--(LEFT(L40,1)="✓"),--(LEFT(M40,1)="✓"),--(LEFT(N40,1)="✓"),--(LEFT(O40,1)="✓"))</x:f>
        <x:v>10</x:v>
      </x:c>
      <x:c r="E40" s="35" t="n">
        <x:f>SUM(--(LEFT(F40,1)="△"),--(LEFT(G40,1)="△"),--(LEFT(H40,1)="△"),--(LEFT(I40,1)="△"),--(LEFT(J40,1)="△"),--(LEFT(K40,1)="△"),--(LEFT(L40,1)="△"),--(LEFT(M40,1)="△"),--(LEFT(N40,1)="△"),--(LEFT(O40,1)="△"))</x:f>
        <x:v>0</x:v>
      </x:c>
      <x:c r="F40" s="14" t="str">
        <x:v>✓ Native — error + metadata/usage</x:v>
      </x:c>
      <x:c r="G40" s="14" t="str">
        <x:v>✓ Native — Error + recognition metadata</x:v>
      </x:c>
      <x:c r="H40" s="14" t="str">
        <x:v>✓ Native — error + session statistics</x:v>
      </x:c>
      <x:c r="I40" s="14" t="str">
        <x:v>✓ Native — error events</x:v>
      </x:c>
      <x:c r="J40" s="14" t="str">
        <x:v>✓ Native — error + token metadata</x:v>
      </x:c>
      <x:c r="K40" s="14" t="str">
        <x:v>✓ Native — error + session events</x:v>
      </x:c>
      <x:c r="L40" s="14" t="str">
        <x:v>✓ Native — error + usage</x:v>
      </x:c>
      <x:c r="M40" s="14" t="str">
        <x:v>✓ Native — error events</x:v>
      </x:c>
      <x:c r="N40" s="14" t="str">
        <x:v>✓ Native — gRPC status + metadata</x:v>
      </x:c>
      <x:c r="O40" s="14" t="str">
        <x:v>✓ Native — SDK cancellation/error + properties</x:v>
      </x:c>
    </x:row>
    <x:row r="41" ht="36" customHeight="1">
      <x:c r="A41" s="36" t="str">
        <x:v>Turn detection</x:v>
      </x:c>
      <x:c r="B41" s="37" t="str">
        <x:v>VAD-based endpointing</x:v>
      </x:c>
      <x:c r="C41" s="38" t="str">
        <x:v>Core</x:v>
      </x:c>
      <x:c r="D41" s="39" t="n">
        <x:f>SUM(--(LEFT(F41,1)="✓"),--(LEFT(G41,1)="✓"),--(LEFT(H41,1)="✓"),--(LEFT(I41,1)="✓"),--(LEFT(J41,1)="✓"),--(LEFT(K41,1)="✓"),--(LEFT(L41,1)="✓"),--(LEFT(M41,1)="✓"),--(LEFT(N41,1)="✓"),--(LEFT(O41,1)="✓"))</x:f>
        <x:v>10</x:v>
      </x:c>
      <x:c r="E41" s="39" t="n">
        <x:f>SUM(--(LEFT(F41,1)="△"),--(LEFT(G41,1)="△"),--(LEFT(H41,1)="△"),--(LEFT(I41,1)="△"),--(LEFT(J41,1)="△"),--(LEFT(K41,1)="△"),--(LEFT(L41,1)="△"),--(LEFT(M41,1)="△"),--(LEFT(N41,1)="△"),--(LEFT(O41,1)="△"))</x:f>
        <x:v>0</x:v>
      </x:c>
      <x:c r="F41" s="37" t="str">
        <x:v>✓ Native — endpointing / Flux</x:v>
      </x:c>
      <x:c r="G41" s="37" t="str">
        <x:v>✓ Native — silence trigger</x:v>
      </x:c>
      <x:c r="H41" s="37" t="str">
        <x:v>✓ Native — turn detection VAD</x:v>
      </x:c>
      <x:c r="I41" s="37" t="str">
        <x:v>✓ Native — VAD commit strategy</x:v>
      </x:c>
      <x:c r="J41" s="37" t="str">
        <x:v>✓ Native — endpoint detection</x:v>
      </x:c>
      <x:c r="K41" s="37" t="str">
        <x:v>✓ Native — VAD endpointing</x:v>
      </x:c>
      <x:c r="L41" s="37" t="str">
        <x:v>✓ Native — server_vad</x:v>
      </x:c>
      <x:c r="M41" s="37" t="str">
        <x:v>✓ Native — auto-turn; manual Whisper VAD</x:v>
      </x:c>
      <x:c r="N41" s="37" t="str">
        <x:v>✓ Native — voice activity events/timeouts</x:v>
      </x:c>
      <x:c r="O41" s="37" t="str">
        <x:v>✓ Native — silence-based segmentation</x:v>
      </x:c>
    </x:row>
    <x:row r="42" ht="36" customHeight="1">
      <x:c r="A42" s="32" t="str">
        <x:v>Turn detection</x:v>
      </x:c>
      <x:c r="B42" s="14" t="str">
        <x:v>Configurable silence timeout</x:v>
      </x:c>
      <x:c r="C42" s="33" t="str">
        <x:v>Core</x:v>
      </x:c>
      <x:c r="D42" s="35" t="n">
        <x:f>SUM(--(LEFT(F42,1)="✓"),--(LEFT(G42,1)="✓"),--(LEFT(H42,1)="✓"),--(LEFT(I42,1)="✓"),--(LEFT(J42,1)="✓"),--(LEFT(K42,1)="✓"),--(LEFT(L42,1)="✓"),--(LEFT(M42,1)="✓"),--(LEFT(N42,1)="✓"),--(LEFT(O42,1)="✓"))</x:f>
        <x:v>10</x:v>
      </x:c>
      <x:c r="E42" s="35" t="n">
        <x:f>SUM(--(LEFT(F42,1)="△"),--(LEFT(G42,1)="△"),--(LEFT(H42,1)="△"),--(LEFT(I42,1)="△"),--(LEFT(J42,1)="△"),--(LEFT(K42,1)="△"),--(LEFT(L42,1)="△"),--(LEFT(M42,1)="△"),--(LEFT(N42,1)="△"),--(LEFT(O42,1)="△"))</x:f>
        <x:v>0</x:v>
      </x:c>
      <x:c r="F42" s="14" t="str">
        <x:v>✓ Native — endpointing + utterance_end_ms</x:v>
      </x:c>
      <x:c r="G42" s="14" t="str">
        <x:v>✓ Native — 0–2 s silence trigger</x:v>
      </x:c>
      <x:c r="H42" s="14" t="str">
        <x:v>✓ Native — min/max turn silence</x:v>
      </x:c>
      <x:c r="I42" s="14" t="str">
        <x:v>✓ Native — silence/min-speech controls</x:v>
      </x:c>
      <x:c r="J42" s="14" t="str">
        <x:v>✓ Native — max_endpoint_delay_ms</x:v>
      </x:c>
      <x:c r="K42" s="14" t="str">
        <x:v>✓ Native — 0.01–10 s endpointing</x:v>
      </x:c>
      <x:c r="L42" s="14" t="str">
        <x:v>✓ Native — silence_duration_ms</x:v>
      </x:c>
      <x:c r="M42" s="14" t="str">
        <x:v>✓ Native — turn_end_timeout_ms</x:v>
      </x:c>
      <x:c r="N42" s="14" t="str">
        <x:v>✓ Native — speech begin/end timeouts</x:v>
      </x:c>
      <x:c r="O42" s="14" t="str">
        <x:v>✓ Native — initial + segmentation silence timeout</x:v>
      </x:c>
    </x:row>
    <x:row r="43" ht="36" customHeight="1">
      <x:c r="A43" s="32" t="str">
        <x:v>Turn detection</x:v>
      </x:c>
      <x:c r="B43" s="14" t="str">
        <x:v>Semantic end-of-turn detection</x:v>
      </x:c>
      <x:c r="C43" s="33" t="str">
        <x:v>Recommended core</x:v>
      </x:c>
      <x:c r="D43" s="35" t="n">
        <x:f>SUM(--(LEFT(F43,1)="✓"),--(LEFT(G43,1)="✓"),--(LEFT(H43,1)="✓"),--(LEFT(I43,1)="✓"),--(LEFT(J43,1)="✓"),--(LEFT(K43,1)="✓"),--(LEFT(L43,1)="✓"),--(LEFT(M43,1)="✓"),--(LEFT(N43,1)="✓"),--(LEFT(O43,1)="✓"))</x:f>
        <x:v>6</x:v>
      </x:c>
      <x:c r="E43" s="35" t="n">
        <x:f>SUM(--(LEFT(F43,1)="△"),--(LEFT(G43,1)="△"),--(LEFT(H43,1)="△"),--(LEFT(I43,1)="△"),--(LEFT(J43,1)="△"),--(LEFT(K43,1)="△"),--(LEFT(L43,1)="△"),--(LEFT(M43,1)="△"),--(LEFT(N43,1)="△"),--(LEFT(O43,1)="△"))</x:f>
        <x:v>0</x:v>
      </x:c>
      <x:c r="F43" s="14" t="str">
        <x:v>✓ Native — Flux model-native turn detection</x:v>
      </x:c>
      <x:c r="G43" s="14" t="str">
        <x:v>— external composition</x:v>
      </x:c>
      <x:c r="H43" s="14" t="str">
        <x:v>✓ Native — Universal-3 Pro semantic turn detection</x:v>
      </x:c>
      <x:c r="I43" s="14" t="str">
        <x:v>— No public support documented</x:v>
      </x:c>
      <x:c r="J43" s="14" t="str">
        <x:v>✓ Native — semantic endpointing</x:v>
      </x:c>
      <x:c r="K43" s="14" t="str">
        <x:v>✕ Explicitly unsupported — documented as silence/VAD, not semantic</x:v>
      </x:c>
      <x:c r="L43" s="14" t="str">
        <x:v>✓ Native — semantic_vad</x:v>
      </x:c>
      <x:c r="M43" s="14" t="str">
        <x:v>✓ Native — Ink 2 linguistic/conversational completeness</x:v>
      </x:c>
      <x:c r="N43" s="14" t="str">
        <x:v>— No public support documented</x:v>
      </x:c>
      <x:c r="O43" s="14" t="str">
        <x:v>✓ Native — semantic segmentation; locale/continuous-mode limits</x:v>
      </x:c>
    </x:row>
    <x:row r="44" ht="36" customHeight="1">
      <x:c r="A44" s="32" t="str">
        <x:v>Turn detection</x:v>
      </x:c>
      <x:c r="B44" s="14" t="str">
        <x:v>Endpoint strategy selector</x:v>
      </x:c>
      <x:c r="C44" s="33" t="str">
        <x:v>Core</x:v>
      </x:c>
      <x:c r="D44" s="35" t="n">
        <x:f>SUM(--(LEFT(F44,1)="✓"),--(LEFT(G44,1)="✓"),--(LEFT(H44,1)="✓"),--(LEFT(I44,1)="✓"),--(LEFT(J44,1)="✓"),--(LEFT(K44,1)="✓"),--(LEFT(L44,1)="✓"),--(LEFT(M44,1)="✓"),--(LEFT(N44,1)="✓"),--(LEFT(O44,1)="✓"))</x:f>
        <x:v>7</x:v>
      </x:c>
      <x:c r="E44" s="35" t="n">
        <x:f>SUM(--(LEFT(F44,1)="△"),--(LEFT(G44,1)="△"),--(LEFT(H44,1)="△"),--(LEFT(I44,1)="△"),--(LEFT(J44,1)="△"),--(LEFT(K44,1)="△"),--(LEFT(L44,1)="△"),--(LEFT(M44,1)="△"),--(LEFT(N44,1)="△"),--(LEFT(O44,1)="△"))</x:f>
        <x:v>3</x:v>
      </x:c>
      <x:c r="F44" s="14" t="str">
        <x:v>✓ Native — endpointing vs Flux controls</x:v>
      </x:c>
      <x:c r="G44" s="14" t="str">
        <x:v>△ Limited — flex/fixed delay modes</x:v>
      </x:c>
      <x:c r="H44" s="14" t="str">
        <x:v>✓ Native — model/mode/configuration choices</x:v>
      </x:c>
      <x:c r="I44" s="14" t="str">
        <x:v>✓ Native — manual vs VAD commit</x:v>
      </x:c>
      <x:c r="J44" s="14" t="str">
        <x:v>✓ Native — endpointing on/off + sensitivity</x:v>
      </x:c>
      <x:c r="K44" s="14" t="str">
        <x:v>△ Limited — VAD parameters only</x:v>
      </x:c>
      <x:c r="L44" s="14" t="str">
        <x:v>✓ Native — none/server_vad/semantic_vad</x:v>
      </x:c>
      <x:c r="M44" s="14" t="str">
        <x:v>✓ Native — manual vs auto-turn endpoint</x:v>
      </x:c>
      <x:c r="N44" s="14" t="str">
        <x:v>△ Limited — single-utterance model/timeouts</x:v>
      </x:c>
      <x:c r="O44" s="14" t="str">
        <x:v>✓ Native — silence vs semantic segmentation</x:v>
      </x:c>
    </x:row>
    <x:row r="45" ht="36" customHeight="1">
      <x:c r="A45" s="32" t="str">
        <x:v>Turn detection</x:v>
      </x:c>
      <x:c r="B45" s="14" t="str">
        <x:v>No-input timeout</x:v>
      </x:c>
      <x:c r="C45" s="33" t="str">
        <x:v>Optional</x:v>
      </x:c>
      <x:c r="D45" s="35" t="n">
        <x:f>SUM(--(LEFT(F45,1)="✓"),--(LEFT(G45,1)="✓"),--(LEFT(H45,1)="✓"),--(LEFT(I45,1)="✓"),--(LEFT(J45,1)="✓"),--(LEFT(K45,1)="✓"),--(LEFT(L45,1)="✓"),--(LEFT(M45,1)="✓"),--(LEFT(N45,1)="✓"),--(LEFT(O45,1)="✓"))</x:f>
        <x:v>4</x:v>
      </x:c>
      <x:c r="E45" s="35" t="n">
        <x:f>SUM(--(LEFT(F45,1)="△"),--(LEFT(G45,1)="△"),--(LEFT(H45,1)="△"),--(LEFT(I45,1)="△"),--(LEFT(J45,1)="△"),--(LEFT(K45,1)="△"),--(LEFT(L45,1)="△"),--(LEFT(M45,1)="△"),--(LEFT(N45,1)="△"),--(LEFT(O45,1)="△"))</x:f>
        <x:v>1</x:v>
      </x:c>
      <x:c r="F45" s="14" t="str">
        <x:v>△ Limited — session/Flux lifecycle controls</x:v>
      </x:c>
      <x:c r="G45" s="14" t="str">
        <x:v>— No public support documented</x:v>
      </x:c>
      <x:c r="H45" s="14" t="str">
        <x:v>✓ Native — inactivity_timeout</x:v>
      </x:c>
      <x:c r="I45" s="14" t="str">
        <x:v>— No public support documented</x:v>
      </x:c>
      <x:c r="J45" s="14" t="str">
        <x:v>— No public support documented</x:v>
      </x:c>
      <x:c r="K45" s="14" t="str">
        <x:v>— No public support documented</x:v>
      </x:c>
      <x:c r="L45" s="14" t="str">
        <x:v>✓ Native — server VAD + application timer</x:v>
      </x:c>
      <x:c r="M45" s="14" t="str">
        <x:v>— No public support documented</x:v>
      </x:c>
      <x:c r="N45" s="14" t="str">
        <x:v>✓ Native — speech_begin_timeout</x:v>
      </x:c>
      <x:c r="O45" s="14" t="str">
        <x:v>✓ Native — initial silence timeout</x:v>
      </x:c>
    </x:row>
    <x:row r="46" ht="36" customHeight="1">
      <x:c r="A46" s="32" t="str">
        <x:v>Turn detection</x:v>
      </x:c>
      <x:c r="B46" s="14" t="str">
        <x:v>Maximum utterance / session duration</x:v>
      </x:c>
      <x:c r="C46" s="33" t="str">
        <x:v>Core</x:v>
      </x:c>
      <x:c r="D46" s="35" t="n">
        <x:f>SUM(--(LEFT(F46,1)="✓"),--(LEFT(G46,1)="✓"),--(LEFT(H46,1)="✓"),--(LEFT(I46,1)="✓"),--(LEFT(J46,1)="✓"),--(LEFT(K46,1)="✓"),--(LEFT(L46,1)="✓"),--(LEFT(M46,1)="✓"),--(LEFT(N46,1)="✓"),--(LEFT(O46,1)="✓"))</x:f>
        <x:v>9</x:v>
      </x:c>
      <x:c r="E46" s="35" t="n">
        <x:f>SUM(--(LEFT(F46,1)="△"),--(LEFT(G46,1)="△"),--(LEFT(H46,1)="△"),--(LEFT(I46,1)="△"),--(LEFT(J46,1)="△"),--(LEFT(K46,1)="△"),--(LEFT(L46,1)="△"),--(LEFT(M46,1)="△"),--(LEFT(N46,1)="△"),--(LEFT(O46,1)="△"))</x:f>
        <x:v>1</x:v>
      </x:c>
      <x:c r="F46" s="14" t="str">
        <x:v>✓ Native — service/session limits</x:v>
      </x:c>
      <x:c r="G46" s="14" t="str">
        <x:v>✓ Native — max_delay/session limits</x:v>
      </x:c>
      <x:c r="H46" s="14" t="str">
        <x:v>✓ Native — session duration controls/limits</x:v>
      </x:c>
      <x:c r="I46" s="14" t="str">
        <x:v>△ Limited — auto commit near 36 s</x:v>
      </x:c>
      <x:c r="J46" s="14" t="str">
        <x:v>✓ Native — service limits</x:v>
      </x:c>
      <x:c r="K46" s="14" t="str">
        <x:v>✓ Native — maximum utterance 5–60 s</x:v>
      </x:c>
      <x:c r="L46" s="14" t="str">
        <x:v>✓ Native — session limits documented</x:v>
      </x:c>
      <x:c r="M46" s="14" t="str">
        <x:v>✓ Native — 3-minute idle; endpoint limits</x:v>
      </x:c>
      <x:c r="N46" s="14" t="str">
        <x:v>✓ Native — streaming quotas/limits</x:v>
      </x:c>
      <x:c r="O46" s="14" t="str">
        <x:v>✓ Native — service and segmentation limits</x:v>
      </x:c>
    </x:row>
    <x:row r="47" ht="36" customHeight="1">
      <x:c r="A47" s="32" t="str">
        <x:v>Turn detection</x:v>
      </x:c>
      <x:c r="B47" s="14" t="str">
        <x:v>Eager end-of-turn + resume</x:v>
      </x:c>
      <x:c r="C47" s="33" t="str">
        <x:v>Optional</x:v>
      </x:c>
      <x:c r="D47" s="35" t="n">
        <x:f>SUM(--(LEFT(F47,1)="✓"),--(LEFT(G47,1)="✓"),--(LEFT(H47,1)="✓"),--(LEFT(I47,1)="✓"),--(LEFT(J47,1)="✓"),--(LEFT(K47,1)="✓"),--(LEFT(L47,1)="✓"),--(LEFT(M47,1)="✓"),--(LEFT(N47,1)="✓"),--(LEFT(O47,1)="✓"))</x:f>
        <x:v>2</x:v>
      </x:c>
      <x:c r="E47" s="35" t="n">
        <x:f>SUM(--(LEFT(F47,1)="△"),--(LEFT(G47,1)="△"),--(LEFT(H47,1)="△"),--(LEFT(I47,1)="△"),--(LEFT(J47,1)="△"),--(LEFT(K47,1)="△"),--(LEFT(L47,1)="△"),--(LEFT(M47,1)="△"),--(LEFT(N47,1)="△"),--(LEFT(O47,1)="△"))</x:f>
        <x:v>2</x:v>
      </x:c>
      <x:c r="F47" s="14" t="str">
        <x:v>✓ Native — EagerEndOfTurn + TurnResumed</x:v>
      </x:c>
      <x:c r="G47" s="14" t="str">
        <x:v>— No public support documented</x:v>
      </x:c>
      <x:c r="H47" s="14" t="str">
        <x:v>△ Limited — turn revisions/interruption controls</x:v>
      </x:c>
      <x:c r="I47" s="14" t="str">
        <x:v>— No public support documented</x:v>
      </x:c>
      <x:c r="J47" s="14" t="str">
        <x:v>— No public support documented</x:v>
      </x:c>
      <x:c r="K47" s="14" t="str">
        <x:v>— No public support documented</x:v>
      </x:c>
      <x:c r="L47" s="14" t="str">
        <x:v>△ Limited — semantic VAD eagerness; no explicit resume event</x:v>
      </x:c>
      <x:c r="M47" s="14" t="str">
        <x:v>✓ Native — turn.eager_end + turn.resume</x:v>
      </x:c>
      <x:c r="N47" s="14" t="str">
        <x:v>— No public support documented</x:v>
      </x:c>
      <x:c r="O47" s="14" t="str">
        <x:v>— No public support documented</x:v>
      </x:c>
    </x:row>
    <x:row r="48" ht="36" customHeight="1">
      <x:c r="A48" s="32" t="str">
        <x:v>Turn detection</x:v>
      </x:c>
      <x:c r="B48" s="14" t="str">
        <x:v>Barge-in / interruption signal</x:v>
      </x:c>
      <x:c r="C48" s="33" t="str">
        <x:v>Core voice-agent</x:v>
      </x:c>
      <x:c r="D48" s="35" t="n">
        <x:f>SUM(--(LEFT(F48,1)="✓"),--(LEFT(G48,1)="✓"),--(LEFT(H48,1)="✓"),--(LEFT(I48,1)="✓"),--(LEFT(J48,1)="✓"),--(LEFT(K48,1)="✓"),--(LEFT(L48,1)="✓"),--(LEFT(M48,1)="✓"),--(LEFT(N48,1)="✓"),--(LEFT(O48,1)="✓"))</x:f>
        <x:v>6</x:v>
      </x:c>
      <x:c r="E48" s="35" t="n">
        <x:f>SUM(--(LEFT(F48,1)="△"),--(LEFT(G48,1)="△"),--(LEFT(H48,1)="△"),--(LEFT(I48,1)="△"),--(LEFT(J48,1)="△"),--(LEFT(K48,1)="△"),--(LEFT(L48,1)="△"),--(LEFT(M48,1)="△"),--(LEFT(N48,1)="△"),--(LEFT(O48,1)="△"))</x:f>
        <x:v>4</x:v>
      </x:c>
      <x:c r="F48" s="14" t="str">
        <x:v>✓ Native — SpeechStarted / TurnResumed</x:v>
      </x:c>
      <x:c r="G48" s="14" t="str">
        <x:v>△ Limited — speech activity inferred externally</x:v>
      </x:c>
      <x:c r="H48" s="14" t="str">
        <x:v>✓ Native — SpeechStarted + interruption delay</x:v>
      </x:c>
      <x:c r="I48" s="14" t="str">
        <x:v>△ Limited — partial/VAD commit flow</x:v>
      </x:c>
      <x:c r="J48" s="14" t="str">
        <x:v>△ Limited — endpoint tokens</x:v>
      </x:c>
      <x:c r="K48" s="14" t="str">
        <x:v>✓ Native — speech_start</x:v>
      </x:c>
      <x:c r="L48" s="14" t="str">
        <x:v>✓ Native — speech_started</x:v>
      </x:c>
      <x:c r="M48" s="14" t="str">
        <x:v>✓ Native — turn.start / resume</x:v>
      </x:c>
      <x:c r="N48" s="14" t="str">
        <x:v>✓ Native — speech activity begin</x:v>
      </x:c>
      <x:c r="O48" s="14" t="str">
        <x:v>△ Limited — Recognizing or ConversationTranscriber events</x:v>
      </x:c>
    </x:row>
    <x:row r="49" ht="36" customHeight="1">
      <x:c r="A49" s="36" t="str">
        <x:v>Recognition controls</x:v>
      </x:c>
      <x:c r="B49" s="37" t="str">
        <x:v>Model/profile selection</x:v>
      </x:c>
      <x:c r="C49" s="38" t="str">
        <x:v>Core</x:v>
      </x:c>
      <x:c r="D49" s="39" t="n">
        <x:f>SUM(--(LEFT(F49,1)="✓"),--(LEFT(G49,1)="✓"),--(LEFT(H49,1)="✓"),--(LEFT(I49,1)="✓"),--(LEFT(J49,1)="✓"),--(LEFT(K49,1)="✓"),--(LEFT(L49,1)="✓"),--(LEFT(M49,1)="✓"),--(LEFT(N49,1)="✓"),--(LEFT(O49,1)="✓"))</x:f>
        <x:v>10</x:v>
      </x:c>
      <x:c r="E49" s="39" t="n">
        <x:f>SUM(--(LEFT(F49,1)="△"),--(LEFT(G49,1)="△"),--(LEFT(H49,1)="△"),--(LEFT(I49,1)="△"),--(LEFT(J49,1)="△"),--(LEFT(K49,1)="△"),--(LEFT(L49,1)="△"),--(LEFT(M49,1)="△"),--(LEFT(N49,1)="△"),--(LEFT(O49,1)="△"))</x:f>
        <x:v>0</x:v>
      </x:c>
      <x:c r="F49" s="37" t="str">
        <x:v>✓ Native — model/version/tier</x:v>
      </x:c>
      <x:c r="G49" s="37" t="str">
        <x:v>✓ Native — operating point/config</x:v>
      </x:c>
      <x:c r="H49" s="37" t="str">
        <x:v>✓ Native — model + speech_model</x:v>
      </x:c>
      <x:c r="I49" s="37" t="str">
        <x:v>✓ Native — model_id</x:v>
      </x:c>
      <x:c r="J49" s="37" t="str">
        <x:v>✓ Native — model</x:v>
      </x:c>
      <x:c r="K49" s="37" t="str">
        <x:v>✓ Native — model</x:v>
      </x:c>
      <x:c r="L49" s="37" t="str">
        <x:v>✓ Native — transcription model</x:v>
      </x:c>
      <x:c r="M49" s="37" t="str">
        <x:v>✓ Native — Ink 2 vs Ink Whisper endpoints</x:v>
      </x:c>
      <x:c r="N49" s="37" t="str">
        <x:v>✓ Native — model/recognizer</x:v>
      </x:c>
      <x:c r="O49" s="37" t="str">
        <x:v>✓ Native — base/custom endpoint/model</x:v>
      </x:c>
    </x:row>
    <x:row r="50" ht="36" customHeight="1">
      <x:c r="A50" s="32" t="str">
        <x:v>Recognition controls</x:v>
      </x:c>
      <x:c r="B50" s="14" t="str">
        <x:v>Explicit language selection</x:v>
      </x:c>
      <x:c r="C50" s="33" t="str">
        <x:v>Core</x:v>
      </x:c>
      <x:c r="D50" s="35" t="n">
        <x:f>SUM(--(LEFT(F50,1)="✓"),--(LEFT(G50,1)="✓"),--(LEFT(H50,1)="✓"),--(LEFT(I50,1)="✓"),--(LEFT(J50,1)="✓"),--(LEFT(K50,1)="✓"),--(LEFT(L50,1)="✓"),--(LEFT(M50,1)="✓"),--(LEFT(N50,1)="✓"),--(LEFT(O50,1)="✓"))</x:f>
        <x:v>9</x:v>
      </x:c>
      <x:c r="E50" s="35" t="n">
        <x:f>SUM(--(LEFT(F50,1)="△"),--(LEFT(G50,1)="△"),--(LEFT(H50,1)="△"),--(LEFT(I50,1)="△"),--(LEFT(J50,1)="△"),--(LEFT(K50,1)="△"),--(LEFT(L50,1)="△"),--(LEFT(M50,1)="△"),--(LEFT(N50,1)="△"),--(LEFT(O50,1)="△"))</x:f>
        <x:v>1</x:v>
      </x:c>
      <x:c r="F50" s="14" t="str">
        <x:v>✓ Native — BCP-47 language</x:v>
      </x:c>
      <x:c r="G50" s="14" t="str">
        <x:v>✓ Native — required language or pack</x:v>
      </x:c>
      <x:c r="H50" s="14" t="str">
        <x:v>✓ Native — language code</x:v>
      </x:c>
      <x:c r="I50" s="14" t="str">
        <x:v>✓ Native — language_code</x:v>
      </x:c>
      <x:c r="J50" s="14" t="str">
        <x:v>✓ Native — language hints/strict mode</x:v>
      </x:c>
      <x:c r="K50" s="14" t="str">
        <x:v>✓ Native — language config</x:v>
      </x:c>
      <x:c r="L50" s="14" t="str">
        <x:v>✓ Native — language hints</x:v>
      </x:c>
      <x:c r="M50" s="14" t="str">
        <x:v>△ Limited — Ink 2 live is English; batch multilingual</x:v>
      </x:c>
      <x:c r="N50" s="14" t="str">
        <x:v>✓ Native — language_codes</x:v>
      </x:c>
      <x:c r="O50" s="14" t="str">
        <x:v>✓ Native — recognition language</x:v>
      </x:c>
    </x:row>
    <x:row r="51" ht="36" customHeight="1">
      <x:c r="A51" s="32" t="str">
        <x:v>Recognition controls</x:v>
      </x:c>
      <x:c r="B51" s="14" t="str">
        <x:v>Automatic language detection</x:v>
      </x:c>
      <x:c r="C51" s="33" t="str">
        <x:v>Optional</x:v>
      </x:c>
      <x:c r="D51" s="35" t="n">
        <x:f>SUM(--(LEFT(F51,1)="✓"),--(LEFT(G51,1)="✓"),--(LEFT(H51,1)="✓"),--(LEFT(I51,1)="✓"),--(LEFT(J51,1)="✓"),--(LEFT(K51,1)="✓"),--(LEFT(L51,1)="✓"),--(LEFT(M51,1)="✓"),--(LEFT(N51,1)="✓"),--(LEFT(O51,1)="✓"))</x:f>
        <x:v>8</x:v>
      </x:c>
      <x:c r="E51" s="35" t="n">
        <x:f>SUM(--(LEFT(F51,1)="△"),--(LEFT(G51,1)="△"),--(LEFT(H51,1)="△"),--(LEFT(I51,1)="△"),--(LEFT(J51,1)="△"),--(LEFT(K51,1)="△"),--(LEFT(L51,1)="△"),--(LEFT(M51,1)="△"),--(LEFT(N51,1)="△"),--(LEFT(O51,1)="△"))</x:f>
        <x:v>1</x:v>
      </x:c>
      <x:c r="F51" s="14" t="str">
        <x:v>✓ Native — batch detect_language</x:v>
      </x:c>
      <x:c r="G51" s="14" t="str">
        <x:v>✓ Native — batch auto; multi packs</x:v>
      </x:c>
      <x:c r="H51" s="14" t="str">
        <x:v>✓ Native — language detection</x:v>
      </x:c>
      <x:c r="I51" s="14" t="str">
        <x:v>✓ Native — auto detection</x:v>
      </x:c>
      <x:c r="J51" s="14" t="str">
        <x:v>✓ Native — automatic multilingual ID</x:v>
      </x:c>
      <x:c r="K51" s="14" t="str">
        <x:v>✓ Native — automatic detection</x:v>
      </x:c>
      <x:c r="L51" s="14" t="str">
        <x:v>△ Limited — committed-turn detection for selected model</x:v>
      </x:c>
      <x:c r="M51" s="14" t="str">
        <x:v>— No public support documented</x:v>
      </x:c>
      <x:c r="N51" s="14" t="str">
        <x:v>✓ Native — automatic recognition config</x:v>
      </x:c>
      <x:c r="O51" s="14" t="str">
        <x:v>✓ Native — at-start/continuous LID</x:v>
      </x:c>
    </x:row>
    <x:row r="52" ht="36" customHeight="1">
      <x:c r="A52" s="32" t="str">
        <x:v>Recognition controls</x:v>
      </x:c>
      <x:c r="B52" s="14" t="str">
        <x:v>Intra-utterance code switching</x:v>
      </x:c>
      <x:c r="C52" s="33" t="str">
        <x:v>Optional</x:v>
      </x:c>
      <x:c r="D52" s="35" t="n">
        <x:f>SUM(--(LEFT(F52,1)="✓"),--(LEFT(G52,1)="✓"),--(LEFT(H52,1)="✓"),--(LEFT(I52,1)="✓"),--(LEFT(J52,1)="✓"),--(LEFT(K52,1)="✓"),--(LEFT(L52,1)="✓"),--(LEFT(M52,1)="✓"),--(LEFT(N52,1)="✓"),--(LEFT(O52,1)="✓"))</x:f>
        <x:v>6</x:v>
      </x:c>
      <x:c r="E52" s="35" t="n">
        <x:f>SUM(--(LEFT(F52,1)="△"),--(LEFT(G52,1)="△"),--(LEFT(H52,1)="△"),--(LEFT(I52,1)="△"),--(LEFT(J52,1)="△"),--(LEFT(K52,1)="△"),--(LEFT(L52,1)="△"),--(LEFT(M52,1)="△"),--(LEFT(N52,1)="△"),--(LEFT(O52,1)="△"))</x:f>
        <x:v>3</x:v>
      </x:c>
      <x:c r="F52" s="14" t="str">
        <x:v>✓ Native — supported multilingual models</x:v>
      </x:c>
      <x:c r="G52" s="14" t="str">
        <x:v>✓ Native — bilingual/multi language packs</x:v>
      </x:c>
      <x:c r="H52" s="14" t="str">
        <x:v>✓ Native — Universal-3.5 code switching</x:v>
      </x:c>
      <x:c r="I52" s="14" t="str">
        <x:v>✓ Native — mixed-language support</x:v>
      </x:c>
      <x:c r="J52" s="14" t="str">
        <x:v>✓ Native — token-level language + code switching</x:v>
      </x:c>
      <x:c r="K52" s="14" t="str">
        <x:v>✓ Native — code_switching per utterance</x:v>
      </x:c>
      <x:c r="L52" s="14" t="str">
        <x:v>△ Limited — multiple expected languages; no per-word guarantee</x:v>
      </x:c>
      <x:c r="M52" s="14" t="str">
        <x:v>— No public support documented</x:v>
      </x:c>
      <x:c r="N52" s="14" t="str">
        <x:v>△ Limited — dominant-language selection; not guaranteed true switching</x:v>
      </x:c>
      <x:c r="O52" s="14" t="str">
        <x:v>△ Limited — continuous LID / selected multilingual models</x:v>
      </x:c>
    </x:row>
    <x:row r="53" ht="36" customHeight="1">
      <x:c r="A53" s="32" t="str">
        <x:v>Recognition controls</x:v>
      </x:c>
      <x:c r="B53" s="14" t="str">
        <x:v>Keyterms / phrase biasing</x:v>
      </x:c>
      <x:c r="C53" s="33" t="str">
        <x:v>Core</x:v>
      </x:c>
      <x:c r="D53" s="35" t="n">
        <x:f>SUM(--(LEFT(F53,1)="✓"),--(LEFT(G53,1)="✓"),--(LEFT(H53,1)="✓"),--(LEFT(I53,1)="✓"),--(LEFT(J53,1)="✓"),--(LEFT(K53,1)="✓"),--(LEFT(L53,1)="✓"),--(LEFT(M53,1)="✓"),--(LEFT(N53,1)="✓"),--(LEFT(O53,1)="✓"))</x:f>
        <x:v>10</x:v>
      </x:c>
      <x:c r="E53" s="35" t="n">
        <x:f>SUM(--(LEFT(F53,1)="△"),--(LEFT(G53,1)="△"),--(LEFT(H53,1)="△"),--(LEFT(I53,1)="△"),--(LEFT(J53,1)="△"),--(LEFT(K53,1)="△"),--(LEFT(L53,1)="△"),--(LEFT(M53,1)="△"),--(LEFT(N53,1)="△"),--(LEFT(O53,1)="△"))</x:f>
        <x:v>0</x:v>
      </x:c>
      <x:c r="F53" s="14" t="str">
        <x:v>✓ Native — keyterm/keywords</x:v>
      </x:c>
      <x:c r="G53" s="14" t="str">
        <x:v>✓ Native — additional_vocab + sounds_like</x:v>
      </x:c>
      <x:c r="H53" s="14" t="str">
        <x:v>✓ Native — keyterms_prompt</x:v>
      </x:c>
      <x:c r="I53" s="14" t="str">
        <x:v>✓ Native — keyterms</x:v>
      </x:c>
      <x:c r="J53" s="14" t="str">
        <x:v>✓ Native — context.terms</x:v>
      </x:c>
      <x:c r="K53" s="14" t="str">
        <x:v>✓ Native — custom vocabulary + pronunciations</x:v>
      </x:c>
      <x:c r="L53" s="14" t="str">
        <x:v>✓ Native — prompt/keywords</x:v>
      </x:c>
      <x:c r="M53" s="14" t="str">
        <x:v>✓ Native — up to 100 terms / 1,200 chars</x:v>
      </x:c>
      <x:c r="N53" s="14" t="str">
        <x:v>✓ Native — PhraseSets + CustomClasses</x:v>
      </x:c>
      <x:c r="O53" s="14" t="str">
        <x:v>✓ Native — PhraseListGrammar + weight</x:v>
      </x:c>
    </x:row>
    <x:row r="54" ht="36" customHeight="1">
      <x:c r="A54" s="32" t="str">
        <x:v>Recognition controls</x:v>
      </x:c>
      <x:c r="B54" s="14" t="str">
        <x:v>Free-text prompt / context</x:v>
      </x:c>
      <x:c r="C54" s="33" t="str">
        <x:v>Core</x:v>
      </x:c>
      <x:c r="D54" s="35" t="n">
        <x:f>SUM(--(LEFT(F54,1)="✓"),--(LEFT(G54,1)="✓"),--(LEFT(H54,1)="✓"),--(LEFT(I54,1)="✓"),--(LEFT(J54,1)="✓"),--(LEFT(K54,1)="✓"),--(LEFT(L54,1)="✓"),--(LEFT(M54,1)="✓"),--(LEFT(N54,1)="✓"),--(LEFT(O54,1)="✓"))</x:f>
        <x:v>5</x:v>
      </x:c>
      <x:c r="E54" s="35" t="n">
        <x:f>SUM(--(LEFT(F54,1)="△"),--(LEFT(G54,1)="△"),--(LEFT(H54,1)="△"),--(LEFT(I54,1)="△"),--(LEFT(J54,1)="△"),--(LEFT(K54,1)="△"),--(LEFT(L54,1)="△"),--(LEFT(M54,1)="△"),--(LEFT(N54,1)="△"),--(LEFT(O54,1)="△"))</x:f>
        <x:v>5</x:v>
      </x:c>
      <x:c r="F54" s="14" t="str">
        <x:v>✓ Native — keyterms and hints</x:v>
      </x:c>
      <x:c r="G54" s="14" t="str">
        <x:v>△ Limited — additional vocabulary, not free-form prompt</x:v>
      </x:c>
      <x:c r="H54" s="14" t="str">
        <x:v>✓ Native — prompt / agent_context</x:v>
      </x:c>
      <x:c r="I54" s="14" t="str">
        <x:v>✓ Native — previous_text first chunk</x:v>
      </x:c>
      <x:c r="J54" s="14" t="str">
        <x:v>✓ Native — context.general/text</x:v>
      </x:c>
      <x:c r="K54" s="14" t="str">
        <x:v>△ Limited — custom vocabulary/spelling</x:v>
      </x:c>
      <x:c r="L54" s="14" t="str">
        <x:v>✓ Native — prompt</x:v>
      </x:c>
      <x:c r="M54" s="14" t="str">
        <x:v>△ Limited — keyterms, not broad prompt</x:v>
      </x:c>
      <x:c r="N54" s="14" t="str">
        <x:v>△ Limited — adaptation resources, not free-form prompt</x:v>
      </x:c>
      <x:c r="O54" s="14" t="str">
        <x:v>△ Limited — phrase lists, not free-form prompt</x:v>
      </x:c>
    </x:row>
    <x:row r="55" ht="36" customHeight="1">
      <x:c r="A55" s="32" t="str">
        <x:v>Recognition controls</x:v>
      </x:c>
      <x:c r="B55" s="14" t="str">
        <x:v>Midstream vocabulary/context update</x:v>
      </x:c>
      <x:c r="C55" s="33" t="str">
        <x:v>Optional</x:v>
      </x:c>
      <x:c r="D55" s="35" t="n">
        <x:f>SUM(--(LEFT(F55,1)="✓"),--(LEFT(G55,1)="✓"),--(LEFT(H55,1)="✓"),--(LEFT(I55,1)="✓"),--(LEFT(J55,1)="✓"),--(LEFT(K55,1)="✓"),--(LEFT(L55,1)="✓"),--(LEFT(M55,1)="✓"),--(LEFT(N55,1)="✓"),--(LEFT(O55,1)="✓"))</x:f>
        <x:v>4</x:v>
      </x:c>
      <x:c r="E55" s="35" t="n">
        <x:f>SUM(--(LEFT(F55,1)="△"),--(LEFT(G55,1)="△"),--(LEFT(H55,1)="△"),--(LEFT(I55,1)="△"),--(LEFT(J55,1)="△"),--(LEFT(K55,1)="△"),--(LEFT(L55,1)="△"),--(LEFT(M55,1)="△"),--(LEFT(N55,1)="△"),--(LEFT(O55,1)="△"))</x:f>
        <x:v>2</x:v>
      </x:c>
      <x:c r="F55" s="14" t="str">
        <x:v>✓ Native — Flux Configure keyterms/hints</x:v>
      </x:c>
      <x:c r="G55" s="14" t="str">
        <x:v>△ Limited — selected config fields only</x:v>
      </x:c>
      <x:c r="H55" s="14" t="str">
        <x:v>✓ Native — UpdateConfiguration</x:v>
      </x:c>
      <x:c r="I55" s="14" t="str">
        <x:v>— No public support documented</x:v>
      </x:c>
      <x:c r="J55" s="14" t="str">
        <x:v>— No public support documented</x:v>
      </x:c>
      <x:c r="K55" s="14" t="str">
        <x:v>— No public support documented</x:v>
      </x:c>
      <x:c r="L55" s="14" t="str">
        <x:v>✓ Native — session.update</x:v>
      </x:c>
      <x:c r="M55" s="14" t="str">
        <x:v>△ Limited — thresholds update; keyterms fixed at connect</x:v>
      </x:c>
      <x:c r="N55" s="14" t="str">
        <x:v>— No public support documented</x:v>
      </x:c>
      <x:c r="O55" s="14" t="str">
        <x:v>✓ Native — runtime phrase-list add/clear</x:v>
      </x:c>
    </x:row>
    <x:row r="56" ht="36" customHeight="1">
      <x:c r="A56" s="32" t="str">
        <x:v>Recognition controls</x:v>
      </x:c>
      <x:c r="B56" s="14" t="str">
        <x:v>Automatic punctuation / casing</x:v>
      </x:c>
      <x:c r="C56" s="33" t="str">
        <x:v>Core</x:v>
      </x:c>
      <x:c r="D56" s="35" t="n">
        <x:f>SUM(--(LEFT(F56,1)="✓"),--(LEFT(G56,1)="✓"),--(LEFT(H56,1)="✓"),--(LEFT(I56,1)="✓"),--(LEFT(J56,1)="✓"),--(LEFT(K56,1)="✓"),--(LEFT(L56,1)="✓"),--(LEFT(M56,1)="✓"),--(LEFT(N56,1)="✓"),--(LEFT(O56,1)="✓"))</x:f>
        <x:v>10</x:v>
      </x:c>
      <x:c r="E56" s="35" t="n">
        <x:f>SUM(--(LEFT(F56,1)="△"),--(LEFT(G56,1)="△"),--(LEFT(H56,1)="△"),--(LEFT(I56,1)="△"),--(LEFT(J56,1)="△"),--(LEFT(K56,1)="△"),--(LEFT(L56,1)="△"),--(LEFT(M56,1)="△"),--(LEFT(N56,1)="△"),--(LEFT(O56,1)="△"))</x:f>
        <x:v>0</x:v>
      </x:c>
      <x:c r="F56" s="14" t="str">
        <x:v>✓ Native — punctuate</x:v>
      </x:c>
      <x:c r="G56" s="14" t="str">
        <x:v>✓ Native — punctuation config</x:v>
      </x:c>
      <x:c r="H56" s="14" t="str">
        <x:v>✓ Native — format_turns / formatting</x:v>
      </x:c>
      <x:c r="I56" s="14" t="str">
        <x:v>✓ Native — model-generated</x:v>
      </x:c>
      <x:c r="J56" s="14" t="str">
        <x:v>✓ Native — smart formatting</x:v>
      </x:c>
      <x:c r="K56" s="14" t="str">
        <x:v>✓ Native — model formatting</x:v>
      </x:c>
      <x:c r="L56" s="14" t="str">
        <x:v>✓ Native — model-generated</x:v>
      </x:c>
      <x:c r="M56" s="14" t="str">
        <x:v>✓ Native — model-generated</x:v>
      </x:c>
      <x:c r="N56" s="14" t="str">
        <x:v>✓ Native — automatic/spoken punctuation</x:v>
      </x:c>
      <x:c r="O56" s="14" t="str">
        <x:v>✓ Native — punctuation modes</x:v>
      </x:c>
    </x:row>
    <x:row r="57" ht="36" customHeight="1">
      <x:c r="A57" s="32" t="str">
        <x:v>Recognition controls</x:v>
      </x:c>
      <x:c r="B57" s="14" t="str">
        <x:v>Smart formatting / inverse text normalization</x:v>
      </x:c>
      <x:c r="C57" s="33" t="str">
        <x:v>Core</x:v>
      </x:c>
      <x:c r="D57" s="35" t="n">
        <x:f>SUM(--(LEFT(F57,1)="✓"),--(LEFT(G57,1)="✓"),--(LEFT(H57,1)="✓"),--(LEFT(I57,1)="✓"),--(LEFT(J57,1)="✓"),--(LEFT(K57,1)="✓"),--(LEFT(L57,1)="✓"),--(LEFT(M57,1)="✓"),--(LEFT(N57,1)="✓"),--(LEFT(O57,1)="✓"))</x:f>
        <x:v>10</x:v>
      </x:c>
      <x:c r="E57" s="35" t="n">
        <x:f>SUM(--(LEFT(F57,1)="△"),--(LEFT(G57,1)="△"),--(LEFT(H57,1)="△"),--(LEFT(I57,1)="△"),--(LEFT(J57,1)="△"),--(LEFT(K57,1)="△"),--(LEFT(L57,1)="△"),--(LEFT(M57,1)="△"),--(LEFT(N57,1)="△"),--(LEFT(O57,1)="△"))</x:f>
        <x:v>0</x:v>
      </x:c>
      <x:c r="F57" s="14" t="str">
        <x:v>✓ Native — smart_format</x:v>
      </x:c>
      <x:c r="G57" s="14" t="str">
        <x:v>✓ Native — ITN</x:v>
      </x:c>
      <x:c r="H57" s="14" t="str">
        <x:v>✓ Native — formatted turns</x:v>
      </x:c>
      <x:c r="I57" s="14" t="str">
        <x:v>✓ Native — no_verbatim cleanup</x:v>
      </x:c>
      <x:c r="J57" s="14" t="str">
        <x:v>✓ Native — built in</x:v>
      </x:c>
      <x:c r="K57" s="14" t="str">
        <x:v>✓ Native — formatting</x:v>
      </x:c>
      <x:c r="L57" s="14" t="str">
        <x:v>✓ Native — model-generated formatted transcript</x:v>
      </x:c>
      <x:c r="M57" s="14" t="str">
        <x:v>✓ Native — structured formatting</x:v>
      </x:c>
      <x:c r="N57" s="14" t="str">
        <x:v>✓ Native — transcript normalization</x:v>
      </x:c>
      <x:c r="O57" s="14" t="str">
        <x:v>✓ Native — lexical/ITN/masked-ITN forms</x:v>
      </x:c>
    </x:row>
    <x:row r="58" ht="36" customHeight="1">
      <x:c r="A58" s="32" t="str">
        <x:v>Recognition controls</x:v>
      </x:c>
      <x:c r="B58" s="14" t="str">
        <x:v>Profanity filtering</x:v>
      </x:c>
      <x:c r="C58" s="33" t="str">
        <x:v>Optional</x:v>
      </x:c>
      <x:c r="D58" s="35" t="n">
        <x:f>SUM(--(LEFT(F58,1)="✓"),--(LEFT(G58,1)="✓"),--(LEFT(H58,1)="✓"),--(LEFT(I58,1)="✓"),--(LEFT(J58,1)="✓"),--(LEFT(K58,1)="✓"),--(LEFT(L58,1)="✓"),--(LEFT(M58,1)="✓"),--(LEFT(N58,1)="✓"),--(LEFT(O58,1)="✓"))</x:f>
        <x:v>4</x:v>
      </x:c>
      <x:c r="E58" s="35" t="n">
        <x:f>SUM(--(LEFT(F58,1)="△"),--(LEFT(G58,1)="△"),--(LEFT(H58,1)="△"),--(LEFT(I58,1)="△"),--(LEFT(J58,1)="△"),--(LEFT(K58,1)="△"),--(LEFT(L58,1)="△"),--(LEFT(M58,1)="△"),--(LEFT(N58,1)="△"),--(LEFT(O58,1)="△"))</x:f>
        <x:v>2</x:v>
      </x:c>
      <x:c r="F58" s="14" t="str">
        <x:v>✓ Native — profanity_filter</x:v>
      </x:c>
      <x:c r="G58" s="14" t="str">
        <x:v>△ Limited — profanity metadata tags; no masking</x:v>
      </x:c>
      <x:c r="H58" s="14" t="str">
        <x:v>✓ Native — filter_profanity</x:v>
      </x:c>
      <x:c r="I58" s="14" t="str">
        <x:v>△ Limited — batch content controls</x:v>
      </x:c>
      <x:c r="J58" s="14" t="str">
        <x:v>— No public support documented</x:v>
      </x:c>
      <x:c r="K58" s="14" t="str">
        <x:v>— No public support documented</x:v>
      </x:c>
      <x:c r="L58" s="14" t="str">
        <x:v>— No public support documented</x:v>
      </x:c>
      <x:c r="M58" s="14" t="str">
        <x:v>— No public support documented</x:v>
      </x:c>
      <x:c r="N58" s="14" t="str">
        <x:v>✓ Native — profanity_filter</x:v>
      </x:c>
      <x:c r="O58" s="14" t="str">
        <x:v>✓ Native — mask/remove/tag controls</x:v>
      </x:c>
    </x:row>
    <x:row r="59" ht="36" customHeight="1">
      <x:c r="A59" s="32" t="str">
        <x:v>Recognition controls</x:v>
      </x:c>
      <x:c r="B59" s="14" t="str">
        <x:v>PII / sensitive-data redaction</x:v>
      </x:c>
      <x:c r="C59" s="33" t="str">
        <x:v>Optional</x:v>
      </x:c>
      <x:c r="D59" s="35" t="n">
        <x:f>SUM(--(LEFT(F59,1)="✓"),--(LEFT(G59,1)="✓"),--(LEFT(H59,1)="✓"),--(LEFT(I59,1)="✓"),--(LEFT(J59,1)="✓"),--(LEFT(K59,1)="✓"),--(LEFT(L59,1)="✓"),--(LEFT(M59,1)="✓"),--(LEFT(N59,1)="✓"),--(LEFT(O59,1)="✓"))</x:f>
        <x:v>2</x:v>
      </x:c>
      <x:c r="E59" s="35" t="n">
        <x:f>SUM(--(LEFT(F59,1)="△"),--(LEFT(G59,1)="△"),--(LEFT(H59,1)="△"),--(LEFT(I59,1)="△"),--(LEFT(J59,1)="△"),--(LEFT(K59,1)="△"),--(LEFT(L59,1)="△"),--(LEFT(M59,1)="△"),--(LEFT(N59,1)="△"),--(LEFT(O59,1)="△"))</x:f>
        <x:v>3</x:v>
      </x:c>
      <x:c r="F59" s="14" t="str">
        <x:v>✓ Native — PII/PCI/PHI/number redaction</x:v>
      </x:c>
      <x:c r="G59" s="14" t="str">
        <x:v>— no native masking/PII redaction</x:v>
      </x:c>
      <x:c r="H59" s="14" t="str">
        <x:v>✓ Native — PII redaction</x:v>
      </x:c>
      <x:c r="I59" s="14" t="str">
        <x:v>△ Limited — batch redaction; not realtime</x:v>
      </x:c>
      <x:c r="J59" s="14" t="str">
        <x:v>— No public support documented</x:v>
      </x:c>
      <x:c r="K59" s="14" t="str">
        <x:v>△ Limited — pre-recorded PII redaction; not live</x:v>
      </x:c>
      <x:c r="L59" s="14" t="str">
        <x:v>— No public support documented</x:v>
      </x:c>
      <x:c r="M59" s="14" t="str">
        <x:v>— No public support documented</x:v>
      </x:c>
      <x:c r="N59" s="14" t="str">
        <x:v>— No public support documented</x:v>
      </x:c>
      <x:c r="O59" s="14" t="str">
        <x:v>△ Limited — requires separate Azure AI Language PII service</x:v>
      </x:c>
    </x:row>
    <x:row r="60" ht="36" customHeight="1">
      <x:c r="A60" s="32" t="str">
        <x:v>Recognition controls</x:v>
      </x:c>
      <x:c r="B60" s="14" t="str">
        <x:v>Speaker diarization</x:v>
      </x:c>
      <x:c r="C60" s="33" t="str">
        <x:v>Optional</x:v>
      </x:c>
      <x:c r="D60" s="35" t="n">
        <x:f>SUM(--(LEFT(F60,1)="✓"),--(LEFT(G60,1)="✓"),--(LEFT(H60,1)="✓"),--(LEFT(I60,1)="✓"),--(LEFT(J60,1)="✓"),--(LEFT(K60,1)="✓"),--(LEFT(L60,1)="✓"),--(LEFT(M60,1)="✓"),--(LEFT(N60,1)="✓"),--(LEFT(O60,1)="✓"))</x:f>
        <x:v>6</x:v>
      </x:c>
      <x:c r="E60" s="35" t="n">
        <x:f>SUM(--(LEFT(F60,1)="△"),--(LEFT(G60,1)="△"),--(LEFT(H60,1)="△"),--(LEFT(I60,1)="△"),--(LEFT(J60,1)="△"),--(LEFT(K60,1)="△"),--(LEFT(L60,1)="△"),--(LEFT(M60,1)="△"),--(LEFT(N60,1)="△"),--(LEFT(O60,1)="△"))</x:f>
        <x:v>2</x:v>
      </x:c>
      <x:c r="F60" s="14" t="str">
        <x:v>✓ Native — diarize</x:v>
      </x:c>
      <x:c r="G60" s="14" t="str">
        <x:v>✓ Native — speaker/channel diarization</x:v>
      </x:c>
      <x:c r="H60" s="14" t="str">
        <x:v>✓ Native — realtime speaker labels + revisions</x:v>
      </x:c>
      <x:c r="I60" s="14" t="str">
        <x:v>△ Limited — batch only, up to 32 speakers</x:v>
      </x:c>
      <x:c r="J60" s="14" t="str">
        <x:v>✓ Native — realtime diarization</x:v>
      </x:c>
      <x:c r="K60" s="14" t="str">
        <x:v>— no live diarization</x:v>
      </x:c>
      <x:c r="L60" s="14" t="str">
        <x:v>△ Limited — file-only diarization model; not live</x:v>
      </x:c>
      <x:c r="M60" s="14" t="str">
        <x:v>— No public support documented</x:v>
      </x:c>
      <x:c r="N60" s="14" t="str">
        <x:v>✓ Native — model/method dependent; not all streaming models</x:v>
      </x:c>
      <x:c r="O60" s="14" t="str">
        <x:v>✓ Native — ConversationTranscriber + batch</x:v>
      </x:c>
    </x:row>
    <x:row r="61" ht="36" customHeight="1">
      <x:c r="A61" s="32" t="str">
        <x:v>Recognition controls</x:v>
      </x:c>
      <x:c r="B61" s="14" t="str">
        <x:v>Speaker-count hints / bounds</x:v>
      </x:c>
      <x:c r="C61" s="33" t="str">
        <x:v>Optional</x:v>
      </x:c>
      <x:c r="D61" s="35" t="n">
        <x:f>SUM(--(LEFT(F61,1)="✓"),--(LEFT(G61,1)="✓"),--(LEFT(H61,1)="✓"),--(LEFT(I61,1)="✓"),--(LEFT(J61,1)="✓"),--(LEFT(K61,1)="✓"),--(LEFT(L61,1)="✓"),--(LEFT(M61,1)="✓"),--(LEFT(N61,1)="✓"),--(LEFT(O61,1)="✓"))</x:f>
        <x:v>4</x:v>
      </x:c>
      <x:c r="E61" s="35" t="n">
        <x:f>SUM(--(LEFT(F61,1)="△"),--(LEFT(G61,1)="△"),--(LEFT(H61,1)="△"),--(LEFT(I61,1)="△"),--(LEFT(J61,1)="△"),--(LEFT(K61,1)="△"),--(LEFT(L61,1)="△"),--(LEFT(M61,1)="△"),--(LEFT(N61,1)="△"),--(LEFT(O61,1)="△"))</x:f>
        <x:v>4</x:v>
      </x:c>
      <x:c r="F61" s="14" t="str">
        <x:v>△ Limited — speaker identification without explicit count bounds</x:v>
      </x:c>
      <x:c r="G61" s="14" t="str">
        <x:v>✓ Native — diarization configuration</x:v>
      </x:c>
      <x:c r="H61" s="14" t="str">
        <x:v>△ Limited — speaker label controls</x:v>
      </x:c>
      <x:c r="I61" s="14" t="str">
        <x:v>✓ Native — batch speaker count</x:v>
      </x:c>
      <x:c r="J61" s="14" t="str">
        <x:v>△ Limited — diarization without count hint documented</x:v>
      </x:c>
      <x:c r="K61" s="14" t="str">
        <x:v>— No public support documented</x:v>
      </x:c>
      <x:c r="L61" s="14" t="str">
        <x:v>△ Limited — file diarization options</x:v>
      </x:c>
      <x:c r="M61" s="14" t="str">
        <x:v>— No public support documented</x:v>
      </x:c>
      <x:c r="N61" s="14" t="str">
        <x:v>✓ Native — min/max speaker count</x:v>
      </x:c>
      <x:c r="O61" s="14" t="str">
        <x:v>✓ Native — batch/ConversationTranscriber settings</x:v>
      </x:c>
    </x:row>
    <x:row r="62" ht="36" customHeight="1">
      <x:c r="A62" s="32" t="str">
        <x:v>Recognition controls</x:v>
      </x:c>
      <x:c r="B62" s="14" t="str">
        <x:v>Non-speech / audio event tags</x:v>
      </x:c>
      <x:c r="C62" s="33" t="str">
        <x:v>Optional</x:v>
      </x:c>
      <x:c r="D62" s="35" t="n">
        <x:f>SUM(--(LEFT(F62,1)="✓"),--(LEFT(G62,1)="✓"),--(LEFT(H62,1)="✓"),--(LEFT(I62,1)="✓"),--(LEFT(J62,1)="✓"),--(LEFT(K62,1)="✓"),--(LEFT(L62,1)="✓"),--(LEFT(M62,1)="✓"),--(LEFT(N62,1)="✓"),--(LEFT(O62,1)="✓"))</x:f>
        <x:v>1</x:v>
      </x:c>
      <x:c r="E62" s="35" t="n">
        <x:f>SUM(--(LEFT(F62,1)="△"),--(LEFT(G62,1)="△"),--(LEFT(H62,1)="△"),--(LEFT(I62,1)="△"),--(LEFT(J62,1)="△"),--(LEFT(K62,1)="△"),--(LEFT(L62,1)="△"),--(LEFT(M62,1)="△"),--(LEFT(N62,1)="△"),--(LEFT(O62,1)="△"))</x:f>
        <x:v>3</x:v>
      </x:c>
      <x:c r="F62" s="14" t="str">
        <x:v>— No public support documented</x:v>
      </x:c>
      <x:c r="G62" s="14" t="str">
        <x:v>✓ Native — applause/laughter/music</x:v>
      </x:c>
      <x:c r="H62" s="14" t="str">
        <x:v>△ Limited — batch audio intelligence only</x:v>
      </x:c>
      <x:c r="I62" s="14" t="str">
        <x:v>△ Limited — batch audio events/entity detection</x:v>
      </x:c>
      <x:c r="J62" s="14" t="str">
        <x:v>△ Limited — optional audio_event field; taxonomy/control unclear</x:v>
      </x:c>
      <x:c r="K62" s="14" t="str">
        <x:v>✕ Explicitly unsupported — live audio events not supported</x:v>
      </x:c>
      <x:c r="L62" s="14" t="str">
        <x:v>— No public support documented</x:v>
      </x:c>
      <x:c r="M62" s="14" t="str">
        <x:v>— No public support documented</x:v>
      </x:c>
      <x:c r="N62" s="14" t="str">
        <x:v>— No public support documented</x:v>
      </x:c>
      <x:c r="O62" s="14" t="str">
        <x:v>— No public support documented</x:v>
      </x:c>
    </x:row>
    <x:row r="63" ht="36" customHeight="1">
      <x:c r="A63" s="32" t="str">
        <x:v>Recognition controls</x:v>
      </x:c>
      <x:c r="B63" s="14" t="str">
        <x:v>Native translation</x:v>
      </x:c>
      <x:c r="C63" s="33" t="str">
        <x:v>Optional extension</x:v>
      </x:c>
      <x:c r="D63" s="35" t="n">
        <x:f>SUM(--(LEFT(F63,1)="✓"),--(LEFT(G63,1)="✓"),--(LEFT(H63,1)="✓"),--(LEFT(I63,1)="✓"),--(LEFT(J63,1)="✓"),--(LEFT(K63,1)="✓"),--(LEFT(L63,1)="✓"),--(LEFT(M63,1)="✓"),--(LEFT(N63,1)="✓"),--(LEFT(O63,1)="✓"))</x:f>
        <x:v>5</x:v>
      </x:c>
      <x:c r="E63" s="35" t="n">
        <x:f>SUM(--(LEFT(F63,1)="△"),--(LEFT(G63,1)="△"),--(LEFT(H63,1)="△"),--(LEFT(I63,1)="△"),--(LEFT(J63,1)="△"),--(LEFT(K63,1)="△"),--(LEFT(L63,1)="△"),--(LEFT(M63,1)="△"),--(LEFT(N63,1)="△"),--(LEFT(O63,1)="△"))</x:f>
        <x:v>2</x:v>
      </x:c>
      <x:c r="F63" s="14" t="str">
        <x:v>— No public support documented</x:v>
      </x:c>
      <x:c r="G63" s="14" t="str">
        <x:v>✓ Native — batch + realtime translation</x:v>
      </x:c>
      <x:c r="H63" s="14" t="str">
        <x:v>△ Limited — batch translation; streaming needs separate model/gateway</x:v>
      </x:c>
      <x:c r="I63" s="14" t="str">
        <x:v>— separate products/workflows</x:v>
      </x:c>
      <x:c r="J63" s="14" t="str">
        <x:v>✓ Native — realtime translation</x:v>
      </x:c>
      <x:c r="K63" s="14" t="str">
        <x:v>✓ Native — realtime translation</x:v>
      </x:c>
      <x:c r="L63" s="14" t="str">
        <x:v>△ Limited — separate file/realtime translation model</x:v>
      </x:c>
      <x:c r="M63" s="14" t="str">
        <x:v>— No public support documented</x:v>
      </x:c>
      <x:c r="N63" s="14" t="str">
        <x:v>✓ Native — translation config, model dependent</x:v>
      </x:c>
      <x:c r="O63" s="14" t="str">
        <x:v>✓ Native — TranslationRecognizer/API</x:v>
      </x:c>
    </x:row>
    <x:row r="64" ht="36" customHeight="1">
      <x:c r="A64" s="32" t="str">
        <x:v>Recognition controls</x:v>
      </x:c>
      <x:c r="B64" s="14" t="str">
        <x:v>Entity detection / NER</x:v>
      </x:c>
      <x:c r="C64" s="33" t="str">
        <x:v>Optional extension</x:v>
      </x:c>
      <x:c r="D64" s="35" t="n">
        <x:f>SUM(--(LEFT(F64,1)="✓"),--(LEFT(G64,1)="✓"),--(LEFT(H64,1)="✓"),--(LEFT(I64,1)="✓"),--(LEFT(J64,1)="✓"),--(LEFT(K64,1)="✓"),--(LEFT(L64,1)="✓"),--(LEFT(M64,1)="✓"),--(LEFT(N64,1)="✓"),--(LEFT(O64,1)="✓"))</x:f>
        <x:v>2</x:v>
      </x:c>
      <x:c r="E64" s="35" t="n">
        <x:f>SUM(--(LEFT(F64,1)="△"),--(LEFT(G64,1)="△"),--(LEFT(H64,1)="△"),--(LEFT(I64,1)="△"),--(LEFT(J64,1)="△"),--(LEFT(K64,1)="△"),--(LEFT(L64,1)="△"),--(LEFT(M64,1)="△"),--(LEFT(N64,1)="△"),--(LEFT(O64,1)="△"))</x:f>
        <x:v>1</x:v>
      </x:c>
      <x:c r="F64" s="14" t="str">
        <x:v>— No public support documented</x:v>
      </x:c>
      <x:c r="G64" s="14" t="str">
        <x:v>— No public support documented</x:v>
      </x:c>
      <x:c r="H64" s="14" t="str">
        <x:v>△ Limited — batch audio intelligence</x:v>
      </x:c>
      <x:c r="I64" s="14" t="str">
        <x:v>✓ Native — batch entities; realtime entity events</x:v>
      </x:c>
      <x:c r="J64" s="14" t="str">
        <x:v>— No public support documented</x:v>
      </x:c>
      <x:c r="K64" s="14" t="str">
        <x:v>✓ Native — live NER; redaction separate</x:v>
      </x:c>
      <x:c r="L64" s="14" t="str">
        <x:v>— No public support documented</x:v>
      </x:c>
      <x:c r="M64" s="14" t="str">
        <x:v>— No public support documented</x:v>
      </x:c>
      <x:c r="N64" s="14" t="str">
        <x:v>— No public support documented</x:v>
      </x:c>
      <x:c r="O64" s="14" t="str">
        <x:v>— No public support documented</x:v>
      </x:c>
    </x:row>
    <x:row r="65" ht="36" customHeight="1">
      <x:c r="A65" s="36" t="str">
        <x:v>Deployment &amp; governance</x:v>
      </x:c>
      <x:c r="B65" s="37" t="str">
        <x:v>Customer-trained custom ASR model</x:v>
      </x:c>
      <x:c r="C65" s="38" t="str">
        <x:v>Optional extension</x:v>
      </x:c>
      <x:c r="D65" s="39" t="n">
        <x:f>SUM(--(LEFT(F65,1)="✓"),--(LEFT(G65,1)="✓"),--(LEFT(H65,1)="✓"),--(LEFT(I65,1)="✓"),--(LEFT(J65,1)="✓"),--(LEFT(K65,1)="✓"),--(LEFT(L65,1)="✓"),--(LEFT(M65,1)="✓"),--(LEFT(N65,1)="✓"),--(LEFT(O65,1)="✓"))</x:f>
        <x:v>2</x:v>
      </x:c>
      <x:c r="E65" s="39" t="n">
        <x:f>SUM(--(LEFT(F65,1)="△"),--(LEFT(G65,1)="△"),--(LEFT(H65,1)="△"),--(LEFT(I65,1)="△"),--(LEFT(J65,1)="△"),--(LEFT(K65,1)="△"),--(LEFT(L65,1)="△"),--(LEFT(M65,1)="△"),--(LEFT(N65,1)="△"),--(LEFT(O65,1)="△"))</x:f>
        <x:v>1</x:v>
      </x:c>
      <x:c r="F65" s="37" t="str">
        <x:v>✓ Native — enterprise custom model options</x:v>
      </x:c>
      <x:c r="G65" s="37" t="str">
        <x:v>— vocabulary adaptation, not training API</x:v>
      </x:c>
      <x:c r="H65" s="37" t="str">
        <x:v>— no customer-training API documented</x:v>
      </x:c>
      <x:c r="I65" s="37" t="str">
        <x:v>— No public support documented</x:v>
      </x:c>
      <x:c r="J65" s="37" t="str">
        <x:v>— No public support documented</x:v>
      </x:c>
      <x:c r="K65" s="37" t="str">
        <x:v>— No public support documented</x:v>
      </x:c>
      <x:c r="L65" s="37" t="str">
        <x:v>— No public support documented</x:v>
      </x:c>
      <x:c r="M65" s="37" t="str">
        <x:v>— No public support documented</x:v>
      </x:c>
      <x:c r="N65" s="37" t="str">
        <x:v>△ Limited — Custom Speech-to-Text models are Preview</x:v>
      </x:c>
      <x:c r="O65" s="37" t="str">
        <x:v>✓ Native — Custom Speech models/endpoints</x:v>
      </x:c>
    </x:row>
    <x:row r="66" ht="36" customHeight="1">
      <x:c r="A66" s="32" t="str">
        <x:v>Deployment &amp; governance</x:v>
      </x:c>
      <x:c r="B66" s="14" t="str">
        <x:v>Self-host / on-prem deployment</x:v>
      </x:c>
      <x:c r="C66" s="33" t="str">
        <x:v>Optional extension</x:v>
      </x:c>
      <x:c r="D66" s="35" t="n">
        <x:f>SUM(--(LEFT(F66,1)="✓"),--(LEFT(G66,1)="✓"),--(LEFT(H66,1)="✓"),--(LEFT(I66,1)="✓"),--(LEFT(J66,1)="✓"),--(LEFT(K66,1)="✓"),--(LEFT(L66,1)="✓"),--(LEFT(M66,1)="✓"),--(LEFT(N66,1)="✓"),--(LEFT(O66,1)="✓"))</x:f>
        <x:v>6</x:v>
      </x:c>
      <x:c r="E66" s="35" t="n">
        <x:f>SUM(--(LEFT(F66,1)="△"),--(LEFT(G66,1)="△"),--(LEFT(H66,1)="△"),--(LEFT(I66,1)="△"),--(LEFT(J66,1)="△"),--(LEFT(K66,1)="△"),--(LEFT(L66,1)="△"),--(LEFT(M66,1)="△"),--(LEFT(N66,1)="△"),--(LEFT(O66,1)="△"))</x:f>
        <x:v>1</x:v>
      </x:c>
      <x:c r="F66" s="14" t="str">
        <x:v>✓ Native — self-hosted enterprise</x:v>
      </x:c>
      <x:c r="G66" s="14" t="str">
        <x:v>✓ Native — self-host/on-prem</x:v>
      </x:c>
      <x:c r="H66" s="14" t="str">
        <x:v>✓ Native — self-hosted streaming</x:v>
      </x:c>
      <x:c r="I66" s="14" t="str">
        <x:v>✓ Native — private deployment</x:v>
      </x:c>
      <x:c r="J66" s="14" t="str">
        <x:v>— No public support documented</x:v>
      </x:c>
      <x:c r="K66" s="14" t="str">
        <x:v>— No public support documented</x:v>
      </x:c>
      <x:c r="L66" s="14" t="str">
        <x:v>— No public support documented</x:v>
      </x:c>
      <x:c r="M66" s="14" t="str">
        <x:v>✓ Native — private cloud/on-prem/Kubernetes/air-gapped</x:v>
      </x:c>
      <x:c r="N66" s="14" t="str">
        <x:v>△ Limited — private offering; no general on-prem product</x:v>
      </x:c>
      <x:c r="O66" s="14" t="str">
        <x:v>✓ Native — speech-to-text containers</x:v>
      </x:c>
    </x:row>
    <x:row r="67" ht="36" customHeight="1">
      <x:c r="A67" s="32" t="str">
        <x:v>Deployment &amp; governance</x:v>
      </x:c>
      <x:c r="B67" s="14" t="str">
        <x:v>Regional endpoints / data residency</x:v>
      </x:c>
      <x:c r="C67" s="33" t="str">
        <x:v>Core governance</x:v>
      </x:c>
      <x:c r="D67" s="35" t="n">
        <x:f>SUM(--(LEFT(F67,1)="✓"),--(LEFT(G67,1)="✓"),--(LEFT(H67,1)="✓"),--(LEFT(I67,1)="✓"),--(LEFT(J67,1)="✓"),--(LEFT(K67,1)="✓"),--(LEFT(L67,1)="✓"),--(LEFT(M67,1)="✓"),--(LEFT(N67,1)="✓"),--(LEFT(O67,1)="✓"))</x:f>
        <x:v>9</x:v>
      </x:c>
      <x:c r="E67" s="35" t="n">
        <x:f>SUM(--(LEFT(F67,1)="△"),--(LEFT(G67,1)="△"),--(LEFT(H67,1)="△"),--(LEFT(I67,1)="△"),--(LEFT(J67,1)="△"),--(LEFT(K67,1)="△"),--(LEFT(L67,1)="△"),--(LEFT(M67,1)="△"),--(LEFT(N67,1)="△"),--(LEFT(O67,1)="△"))</x:f>
        <x:v>0</x:v>
      </x:c>
      <x:c r="F67" s="14" t="str">
        <x:v>✓ Native — global/EU/AU</x:v>
      </x:c>
      <x:c r="G67" s="14" t="str">
        <x:v>✓ Native — regional deployments</x:v>
      </x:c>
      <x:c r="H67" s="14" t="str">
        <x:v>✓ Native — global/US/EU data zones</x:v>
      </x:c>
      <x:c r="I67" s="14" t="str">
        <x:v>✓ Native — enterprise residency options</x:v>
      </x:c>
      <x:c r="J67" s="14" t="str">
        <x:v>✓ Native — US/EU/Japan</x:v>
      </x:c>
      <x:c r="K67" s="14" t="str">
        <x:v>✓ Native — US/EU live regions</x:v>
      </x:c>
      <x:c r="L67" s="14" t="str">
        <x:v>— not specified on reviewed speech API pages</x:v>
      </x:c>
      <x:c r="M67" s="14" t="str">
        <x:v>✓ Native — enterprise regional endpoints</x:v>
      </x:c>
      <x:c r="N67" s="14" t="str">
        <x:v>✓ Native — regional + US/EU multi-region</x:v>
      </x:c>
      <x:c r="O67" s="14" t="str">
        <x:v>✓ Native — region-specific and sovereign cloud</x:v>
      </x:c>
    </x:row>
    <x:row r="68" ht="36" customHeight="1">
      <x:c r="A68" s="32" t="str">
        <x:v>Deployment &amp; governance</x:v>
      </x:c>
      <x:c r="B68" s="14" t="str">
        <x:v>Private networking / customer storage</x:v>
      </x:c>
      <x:c r="C68" s="33" t="str">
        <x:v>Optional extension</x:v>
      </x:c>
      <x:c r="D68" s="35" t="n">
        <x:f>SUM(--(LEFT(F68,1)="✓"),--(LEFT(G68,1)="✓"),--(LEFT(H68,1)="✓"),--(LEFT(I68,1)="✓"),--(LEFT(J68,1)="✓"),--(LEFT(K68,1)="✓"),--(LEFT(L68,1)="✓"),--(LEFT(M68,1)="✓"),--(LEFT(N68,1)="✓"),--(LEFT(O68,1)="✓"))</x:f>
        <x:v>3</x:v>
      </x:c>
      <x:c r="E68" s="35" t="n">
        <x:f>SUM(--(LEFT(F68,1)="△"),--(LEFT(G68,1)="△"),--(LEFT(H68,1)="△"),--(LEFT(I68,1)="△"),--(LEFT(J68,1)="△"),--(LEFT(K68,1)="△"),--(LEFT(L68,1)="△"),--(LEFT(M68,1)="△"),--(LEFT(N68,1)="△"),--(LEFT(O68,1)="△"))</x:f>
        <x:v>4</x:v>
      </x:c>
      <x:c r="F68" s="14" t="str">
        <x:v>△ Limited — enterprise/self-host options</x:v>
      </x:c>
      <x:c r="G68" s="14" t="str">
        <x:v>△ Limited — private deployment options</x:v>
      </x:c>
      <x:c r="H68" s="14" t="str">
        <x:v>△ Limited — self-host/private infrastructure</x:v>
      </x:c>
      <x:c r="I68" s="14" t="str">
        <x:v>△ Limited — private deployment</x:v>
      </x:c>
      <x:c r="J68" s="14" t="str">
        <x:v>— No public support documented</x:v>
      </x:c>
      <x:c r="K68" s="14" t="str">
        <x:v>— No public support documented</x:v>
      </x:c>
      <x:c r="L68" s="14" t="str">
        <x:v>— No public support documented</x:v>
      </x:c>
      <x:c r="M68" s="14" t="str">
        <x:v>✓ Native — private-cloud/self-host options</x:v>
      </x:c>
      <x:c r="N68" s="14" t="str">
        <x:v>✓ Native — VPC Service Controls/private access patterns</x:v>
      </x:c>
      <x:c r="O68" s="14" t="str">
        <x:v>✓ Native — Private Link/container patterns</x:v>
      </x:c>
    </x:row>
    <x:row r="69" ht="36" customHeight="1">
      <x:c r="A69" s="32" t="str">
        <x:v>Deployment &amp; governance</x:v>
      </x:c>
      <x:c r="B69" s="14" t="str">
        <x:v>Zero-retention / logging opt-out</x:v>
      </x:c>
      <x:c r="C69" s="33" t="str">
        <x:v>Core governance</x:v>
      </x:c>
      <x:c r="D69" s="35" t="n">
        <x:f>SUM(--(LEFT(F69,1)="✓"),--(LEFT(G69,1)="✓"),--(LEFT(H69,1)="✓"),--(LEFT(I69,1)="✓"),--(LEFT(J69,1)="✓"),--(LEFT(K69,1)="✓"),--(LEFT(L69,1)="✓"),--(LEFT(M69,1)="✓"),--(LEFT(N69,1)="✓"),--(LEFT(O69,1)="✓"))</x:f>
        <x:v>1</x:v>
      </x:c>
      <x:c r="E69" s="35" t="n">
        <x:f>SUM(--(LEFT(F69,1)="△"),--(LEFT(G69,1)="△"),--(LEFT(H69,1)="△"),--(LEFT(I69,1)="△"),--(LEFT(J69,1)="△"),--(LEFT(K69,1)="△"),--(LEFT(L69,1)="△"),--(LEFT(M69,1)="△"),--(LEFT(N69,1)="△"),--(LEFT(O69,1)="△"))</x:f>
        <x:v>9</x:v>
      </x:c>
      <x:c r="F69" s="14" t="str">
        <x:v>△ Limited — enterprise data controls</x:v>
      </x:c>
      <x:c r="G69" s="14" t="str">
        <x:v>△ Limited — deployment-dependent</x:v>
      </x:c>
      <x:c r="H69" s="14" t="str">
        <x:v>△ Limited — data-zone/self-host controls</x:v>
      </x:c>
      <x:c r="I69" s="14" t="str">
        <x:v>△ Limited — enterprise controls</x:v>
      </x:c>
      <x:c r="J69" s="14" t="str">
        <x:v>△ Limited — residency controls</x:v>
      </x:c>
      <x:c r="K69" s="14" t="str">
        <x:v>△ Limited — regional/data controls</x:v>
      </x:c>
      <x:c r="L69" s="14" t="str">
        <x:v>△ Limited — API data-control policy dependent</x:v>
      </x:c>
      <x:c r="M69" s="14" t="str">
        <x:v>✓ Native — zero-retention/private deployment options</x:v>
      </x:c>
      <x:c r="N69" s="14" t="str">
        <x:v>△ Limited — logging/data controls by configuration</x:v>
      </x:c>
      <x:c r="O69" s="14" t="str">
        <x:v>△ Limited — resource/container controls</x:v>
      </x:c>
    </x:row>
    <x:row r="70" ht="36" customHeight="1">
      <x:c r="A70" s="32" t="str">
        <x:v>Deployment &amp; governance</x:v>
      </x:c>
      <x:c r="B70" s="14" t="str">
        <x:v>Telephony codecs / integrations</x:v>
      </x:c>
      <x:c r="C70" s="33" t="str">
        <x:v>Core voice-agent</x:v>
      </x:c>
      <x:c r="D70" s="35" t="n">
        <x:f>SUM(--(LEFT(F70,1)="✓"),--(LEFT(G70,1)="✓"),--(LEFT(H70,1)="✓"),--(LEFT(I70,1)="✓"),--(LEFT(J70,1)="✓"),--(LEFT(K70,1)="✓"),--(LEFT(L70,1)="✓"),--(LEFT(M70,1)="✓"),--(LEFT(N70,1)="✓"),--(LEFT(O70,1)="✓"))</x:f>
        <x:v>10</x:v>
      </x:c>
      <x:c r="E70" s="35" t="n">
        <x:f>SUM(--(LEFT(F70,1)="△"),--(LEFT(G70,1)="△"),--(LEFT(H70,1)="△"),--(LEFT(I70,1)="△"),--(LEFT(J70,1)="△"),--(LEFT(K70,1)="△"),--(LEFT(L70,1)="△"),--(LEFT(M70,1)="△"),--(LEFT(N70,1)="△"),--(LEFT(O70,1)="△"))</x:f>
        <x:v>0</x:v>
      </x:c>
      <x:c r="F70" s="14" t="str">
        <x:v>✓ Native — G.711/G.729 + SIPREC/UniMRCP add-ons</x:v>
      </x:c>
      <x:c r="G70" s="14" t="str">
        <x:v>✓ Native — μ-law + telephony workflows</x:v>
      </x:c>
      <x:c r="H70" s="14" t="str">
        <x:v>✓ Native — μ-law streaming</x:v>
      </x:c>
      <x:c r="I70" s="14" t="str">
        <x:v>✓ Native — μ-law + ElevenAgents SIP</x:v>
      </x:c>
      <x:c r="J70" s="14" t="str">
        <x:v>✓ Native — μ-law/A-law</x:v>
      </x:c>
      <x:c r="K70" s="14" t="str">
        <x:v>✓ Native — μ-law/A-law</x:v>
      </x:c>
      <x:c r="L70" s="14" t="str">
        <x:v>✓ Native — direct SIP Realtime</x:v>
      </x:c>
      <x:c r="M70" s="14" t="str">
        <x:v>✓ Native — μ-law/A-law 8 kHz</x:v>
      </x:c>
      <x:c r="N70" s="14" t="str">
        <x:v>✓ Native — μ-law/A-law/AMR + telephony models</x:v>
      </x:c>
      <x:c r="O70" s="14" t="str">
        <x:v>✓ Native — 8 kHz PCM/G.711 via SDK/container</x:v>
      </x:c>
    </x:row>
  </x:sheetData>
  <x:mergeCells>
    <x:mergeCell ref="A1:O1"/>
    <x:mergeCell ref="A2:O2"/>
    <x:mergeCell ref="D3:O3"/>
  </x:mergeCells>
  <x:conditionalFormatting sqref="F5:O70">
    <x:cfRule type="beginsWith" dxfId="0" priority="1" operator="beginsWith" text="✓"/>
    <x:cfRule type="beginsWith" dxfId="1" priority="2" operator="beginsWith" text="△"/>
    <x:cfRule type="beginsWith" dxfId="2" priority="3" operator="beginsWith" text="✕"/>
    <x:cfRule type="beginsWith" dxfId="3" priority="4" operator="beginsWith" text="—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1.110000610351562" hidden="0" customWidth="1"/>
    <x:col min="3" max="3" width="21.110000610351562" hidden="0" customWidth="1"/>
    <x:col min="4" max="4" width="20.559999465942383" hidden="0" customWidth="1"/>
    <x:col min="5" max="5" width="20.559999465942383" hidden="0" customWidth="1"/>
    <x:col min="6" max="6" width="20.559999465942383" hidden="0" customWidth="1"/>
    <x:col min="7" max="7" width="23.329999923706055" hidden="0" customWidth="1"/>
    <x:col min="8" max="8" width="23.329999923706055" hidden="0" customWidth="1"/>
    <x:col min="9" max="9" width="23.329999923706055" hidden="0" customWidth="1"/>
    <x:col min="10" max="10" width="23.329999923706055" hidden="0" customWidth="1"/>
  </x:cols>
  <x:sheetData>
    <x:row r="1" ht="28.5" customHeight="1">
      <x:c r="A1" s="3" t="str">
        <x:v>Transport Detail</x:v>
      </x:c>
      <x:c r="B1" s="3" t="str">
        <x:v>Transport Detail</x:v>
      </x:c>
      <x:c r="C1" s="3" t="str">
        <x:v>Transport Detail</x:v>
      </x:c>
      <x:c r="D1" s="3" t="str">
        <x:v>Transport Detail</x:v>
      </x:c>
      <x:c r="E1" s="3" t="str">
        <x:v>Transport Detail</x:v>
      </x:c>
      <x:c r="F1" s="3" t="str">
        <x:v>Transport Detail</x:v>
      </x:c>
      <x:c r="G1" s="3" t="str">
        <x:v>Transport Detail</x:v>
      </x:c>
      <x:c r="H1" s="3" t="str">
        <x:v>Transport Detail</x:v>
      </x:c>
      <x:c r="I1" s="3" t="str">
        <x:v>Transport Detail</x:v>
      </x:c>
      <x:c r="J1" s="3" t="str">
        <x:v>Transport Detail</x:v>
      </x:c>
    </x:row>
    <x:row r="2" ht="25.5" customHeight="1">
      <x:c r="A2" s="5" t="str">
        <x:v>How realtime audio, control, results, authentication, loss behavior, reconnect, and telephony integration differ by provider.</x:v>
      </x:c>
      <x:c r="B2" s="5" t="str">
        <x:v>How realtime audio, control, results, authentication, loss behavior, reconnect, and telephony integration differ by provider.</x:v>
      </x:c>
      <x:c r="C2" s="5" t="str">
        <x:v>How realtime audio, control, results, authentication, loss behavior, reconnect, and telephony integration differ by provider.</x:v>
      </x:c>
      <x:c r="D2" s="5" t="str">
        <x:v>How realtime audio, control, results, authentication, loss behavior, reconnect, and telephony integration differ by provider.</x:v>
      </x:c>
      <x:c r="E2" s="5" t="str">
        <x:v>How realtime audio, control, results, authentication, loss behavior, reconnect, and telephony integration differ by provider.</x:v>
      </x:c>
      <x:c r="F2" s="5" t="str">
        <x:v>How realtime audio, control, results, authentication, loss behavior, reconnect, and telephony integration differ by provider.</x:v>
      </x:c>
      <x:c r="G2" s="5" t="str">
        <x:v>How realtime audio, control, results, authentication, loss behavior, reconnect, and telephony integration differ by provider.</x:v>
      </x:c>
      <x:c r="H2" s="5" t="str">
        <x:v>How realtime audio, control, results, authentication, loss behavior, reconnect, and telephony integration differ by provider.</x:v>
      </x:c>
      <x:c r="I2" s="5" t="str">
        <x:v>How realtime audio, control, results, authentication, loss behavior, reconnect, and telephony integration differ by provider.</x:v>
      </x:c>
      <x:c r="J2" s="5" t="str">
        <x:v>How realtime audio, control, results, authentication, loss behavior, reconnect, and telephony integration differ by provider.</x:v>
      </x:c>
    </x:row>
    <x:row r="4">
      <x:c r="A4" s="10" t="str">
        <x:v>Provider</x:v>
      </x:c>
      <x:c r="B4" s="10" t="str">
        <x:v>Primary realtime surface</x:v>
      </x:c>
      <x:c r="C4" s="10" t="str">
        <x:v>Transport</x:v>
      </x:c>
      <x:c r="D4" s="10" t="str">
        <x:v>Audio framing</x:v>
      </x:c>
      <x:c r="E4" s="10" t="str">
        <x:v>Control/results framing</x:v>
      </x:c>
      <x:c r="F4" s="10" t="str">
        <x:v>Authentication</x:v>
      </x:c>
      <x:c r="G4" s="10" t="str">
        <x:v>HOL / loss behavior</x:v>
      </x:c>
      <x:c r="H4" s="10" t="str">
        <x:v>Reconnect semantics</x:v>
      </x:c>
      <x:c r="I4" s="10" t="str">
        <x:v>Telephony path</x:v>
      </x:c>
      <x:c r="J4" s="10" t="str">
        <x:v>Standardization implication</x:v>
      </x:c>
    </x:row>
    <x:row r="5" ht="48" customHeight="1">
      <x:c r="A5" s="23" t="str">
        <x:v>Deepgram</x:v>
      </x:c>
      <x:c r="B5" s="14" t="str">
        <x:v>WSS /v1/listen; Flux /v2/listen</x:v>
      </x:c>
      <x:c r="C5" s="14" t="str">
        <x:v>WebSocket over TCP/TLS</x:v>
      </x:c>
      <x:c r="D5" s="14" t="str">
        <x:v>Binary audio frames</x:v>
      </x:c>
      <x:c r="E5" s="14" t="str">
        <x:v>JSON config/control/results</x:v>
      </x:c>
      <x:c r="F5" s="14" t="str">
        <x:v>API token; temporary/JWT options</x:v>
      </x:c>
      <x:c r="G5" s="14" t="str">
        <x:v>TCP loss can delay later audio on same connection</x:v>
      </x:c>
      <x:c r="H5" s="14" t="str">
        <x:v>Reconnect starts a new session</x:v>
      </x:c>
      <x:c r="I5" s="14" t="str">
        <x:v>Enterprise SIPREC/UniMRCP; broad telephony codecs</x:v>
      </x:c>
      <x:c r="J5" s="14" t="str">
        <x:v>Good semantic-profile reference; add QUIC binding</x:v>
      </x:c>
    </x:row>
    <x:row r="6" ht="48" customHeight="1">
      <x:c r="A6" s="23" t="str">
        <x:v>Speechmatics</x:v>
      </x:c>
      <x:c r="B6" s="14" t="str">
        <x:v>Realtime /v2</x:v>
      </x:c>
      <x:c r="C6" s="14" t="str">
        <x:v>WebSocket over TCP/TLS</x:v>
      </x:c>
      <x:c r="D6" s="14" t="str">
        <x:v>Binary audio / channel messages</x:v>
      </x:c>
      <x:c r="E6" s="14" t="str">
        <x:v>JSON protocol messages</x:v>
      </x:c>
      <x:c r="F6" s="14" t="str">
        <x:v>Bearer API key or temporary JWT</x:v>
      </x:c>
      <x:c r="G6" s="14" t="str">
        <x:v>TCP head-of-line behavior</x:v>
      </x:c>
      <x:c r="H6" s="14" t="str">
        <x:v>No session resume</x:v>
      </x:c>
      <x:c r="I6" s="14" t="str">
        <x:v>μ-law and self-hosted deployment</x:v>
      </x:c>
      <x:c r="J6" s="14" t="str">
        <x:v>Strong events, diarization, translation, audio tags</x:v>
      </x:c>
    </x:row>
    <x:row r="7" ht="48" customHeight="1">
      <x:c r="A7" s="23" t="str">
        <x:v>AssemblyAI</x:v>
      </x:c>
      <x:c r="B7" s="14" t="str">
        <x:v>/v3/ws</x:v>
      </x:c>
      <x:c r="C7" s="14" t="str">
        <x:v>WebSocket over TCP/TLS</x:v>
      </x:c>
      <x:c r="D7" s="14" t="str">
        <x:v>Binary audio</x:v>
      </x:c>
      <x:c r="E7" s="14" t="str">
        <x:v>JSON configuration and Turn events</x:v>
      </x:c>
      <x:c r="F7" s="14" t="str">
        <x:v>API key or temporary token</x:v>
      </x:c>
      <x:c r="G7" s="14" t="str">
        <x:v>TCP head-of-line behavior</x:v>
      </x:c>
      <x:c r="H7" s="14" t="str">
        <x:v>No STT resume</x:v>
      </x:c>
      <x:c r="I7" s="14" t="str">
        <x:v>μ-law; self-host option</x:v>
      </x:c>
      <x:c r="J7" s="14" t="str">
        <x:v>Strong turn schema and live reconfiguration</x:v>
      </x:c>
    </x:row>
    <x:row r="8" ht="48" customHeight="1">
      <x:c r="A8" s="23" t="str">
        <x:v>ElevenLabs</x:v>
      </x:c>
      <x:c r="B8" s="14" t="str">
        <x:v>Scribe Realtime</x:v>
      </x:c>
      <x:c r="C8" s="14" t="str">
        <x:v>WebSocket over TCP/TLS</x:v>
      </x:c>
      <x:c r="D8" s="14" t="str">
        <x:v>Base64 audio in JSON events</x:v>
      </x:c>
      <x:c r="E8" s="14" t="str">
        <x:v>JSON transcript/commit events</x:v>
      </x:c>
      <x:c r="F8" s="14" t="str">
        <x:v>xi-api-key or single-use token</x:v>
      </x:c>
      <x:c r="G8" s="14" t="str">
        <x:v>TCP HOL plus base64 overhead</x:v>
      </x:c>
      <x:c r="H8" s="14" t="str">
        <x:v>No resume protocol</x:v>
      </x:c>
      <x:c r="I8" s="14" t="str">
        <x:v>μ-law; SIP in ElevenAgents rather than direct Scribe</x:v>
      </x:c>
      <x:c r="J8" s="14" t="str">
        <x:v>Committed-transcript semantics are useful</x:v>
      </x:c>
    </x:row>
    <x:row r="9" ht="48" customHeight="1">
      <x:c r="A9" s="23" t="str">
        <x:v>Soniox</x:v>
      </x:c>
      <x:c r="B9" s="14" t="str">
        <x:v>Realtime STT</x:v>
      </x:c>
      <x:c r="C9" s="14" t="str">
        <x:v>WebSocket over TCP/TLS</x:v>
      </x:c>
      <x:c r="D9" s="14" t="str">
        <x:v>Binary audio after initial config</x:v>
      </x:c>
      <x:c r="E9" s="14" t="str">
        <x:v>JSON token events and finalize controls</x:v>
      </x:c>
      <x:c r="F9" s="14" t="str">
        <x:v>API key or scoped temporary key</x:v>
      </x:c>
      <x:c r="G9" s="14" t="str">
        <x:v>TCP head-of-line behavior</x:v>
      </x:c>
      <x:c r="H9" s="14" t="str">
        <x:v>SDK reconnect opens new session</x:v>
      </x:c>
      <x:c r="I9" s="14" t="str">
        <x:v>μ-law/A-law</x:v>
      </x:c>
      <x:c r="J9" s="14" t="str">
        <x:v>Token stream + semantic endpointing reference</x:v>
      </x:c>
    </x:row>
    <x:row r="10" ht="48" customHeight="1">
      <x:c r="A10" s="23" t="str">
        <x:v>Gladia</x:v>
      </x:c>
      <x:c r="B10" s="14" t="str">
        <x:v>Live v2 signed session</x:v>
      </x:c>
      <x:c r="C10" s="14" t="str">
        <x:v>WebSocket over TCP/TLS</x:v>
      </x:c>
      <x:c r="D10" s="14" t="str">
        <x:v>Binary audio</x:v>
      </x:c>
      <x:c r="E10" s="14" t="str">
        <x:v>JSON events and callbacks</x:v>
      </x:c>
      <x:c r="F10" s="14" t="str">
        <x:v>API key for init; signed WSS URL</x:v>
      </x:c>
      <x:c r="G10" s="14" t="str">
        <x:v>TCP head-of-line behavior</x:v>
      </x:c>
      <x:c r="H10" s="14" t="str">
        <x:v>Reconnect to signed URL can retain context</x:v>
      </x:c>
      <x:c r="I10" s="14" t="str">
        <x:v>μ-law/A-law; 1–8 channels</x:v>
      </x:c>
      <x:c r="J10" s="14" t="str">
        <x:v>Best resume behavior among WSS specialists</x:v>
      </x:c>
    </x:row>
    <x:row r="11" ht="48" customHeight="1">
      <x:c r="A11" s="23" t="str">
        <x:v>OpenAI</x:v>
      </x:c>
      <x:c r="B11" s="14" t="str">
        <x:v>Realtime transcription</x:v>
      </x:c>
      <x:c r="C11" s="14" t="str">
        <x:v>WebSocket or WebRTC; SIP ingress</x:v>
      </x:c>
      <x:c r="D11" s="14" t="str">
        <x:v>WS: base64 append; WebRTC: SRTP media</x:v>
      </x:c>
      <x:c r="E11" s="14" t="str">
        <x:v>JSON events over WS/data channel</x:v>
      </x:c>
      <x:c r="F11" s="14" t="str">
        <x:v>Bearer key; ephemeral client token</x:v>
      </x:c>
      <x:c r="G11" s="14" t="str">
        <x:v>WS has TCP HOL; WebRTC media is loss-tolerant/UDP-capable</x:v>
      </x:c>
      <x:c r="H11" s="14" t="str">
        <x:v>No audio/transcript resume</x:v>
      </x:c>
      <x:c r="I11" s="14" t="str">
        <x:v>Direct SIP; WebRTC browser path</x:v>
      </x:c>
      <x:c r="J11" s="14" t="str">
        <x:v>Closest deployed example of split media/control</x:v>
      </x:c>
    </x:row>
    <x:row r="12" ht="48" customHeight="1">
      <x:c r="A12" s="23" t="str">
        <x:v>Cartesia</x:v>
      </x:c>
      <x:c r="B12" s="14" t="str">
        <x:v>Ink 2 manual + auto-turn</x:v>
      </x:c>
      <x:c r="C12" s="14" t="str">
        <x:v>WebSocket over TCP/TLS</x:v>
      </x:c>
      <x:c r="D12" s="14" t="str">
        <x:v>Binary raw audio</x:v>
      </x:c>
      <x:c r="E12" s="14" t="str">
        <x:v>JSON config and turn/transcript events</x:v>
      </x:c>
      <x:c r="F12" s="14" t="str">
        <x:v>X-API-Key or short-lived access token</x:v>
      </x:c>
      <x:c r="G12" s="14" t="str">
        <x:v>TCP head-of-line behavior</x:v>
      </x:c>
      <x:c r="H12" s="14" t="str">
        <x:v>Reopen required after disconnect</x:v>
      </x:c>
      <x:c r="I12" s="14" t="str">
        <x:v>μ-law/A-law 8 kHz; mono</x:v>
      </x:c>
      <x:c r="J12" s="14" t="str">
        <x:v>Excellent native turn event vocabulary</x:v>
      </x:c>
    </x:row>
    <x:row r="13" ht="48" customHeight="1">
      <x:c r="A13" s="23" t="str">
        <x:v>Google Cloud</x:v>
      </x:c>
      <x:c r="B13" s="14" t="str">
        <x:v>StreamingRecognize</x:v>
      </x:c>
      <x:c r="C13" s="14" t="str">
        <x:v>gRPC over HTTP/2/TCP/TLS</x:v>
      </x:c>
      <x:c r="D13" s="14" t="str">
        <x:v>Protobuf audio bytes</x:v>
      </x:c>
      <x:c r="E13" s="14" t="str">
        <x:v>Protobuf config/results/status</x:v>
      </x:c>
      <x:c r="F13" s="14" t="str">
        <x:v>OAuth/ADC + IAM</x:v>
      </x:c>
      <x:c r="G13" s="14" t="str">
        <x:v>HTTP/2 multiplexing still inherits TCP connection HOL</x:v>
      </x:c>
      <x:c r="H13" s="14" t="str">
        <x:v>Restart/audio bridging for stream limits</x:v>
      </x:c>
      <x:c r="I13" s="14" t="str">
        <x:v>Telephony encodings/models</x:v>
      </x:c>
      <x:c r="J13" s="14" t="str">
        <x:v>Useful typed-IDL precedent; map protobuf to QUIC</x:v>
      </x:c>
    </x:row>
    <x:row r="14" ht="48" customHeight="1">
      <x:c r="A14" s="23" t="str">
        <x:v>Azure Speech</x:v>
      </x:c>
      <x:c r="B14" s="14" t="str">
        <x:v>Speech SDK continuous recognition</x:v>
      </x:c>
      <x:c r="C14" s="14" t="str">
        <x:v>SDK-managed service stream (generally WebSocket/TCP)</x:v>
      </x:c>
      <x:c r="D14" s="14" t="str">
        <x:v>Push/pull audio stream through SDK</x:v>
      </x:c>
      <x:c r="E14" s="14" t="str">
        <x:v>SDK events/properties</x:v>
      </x:c>
      <x:c r="F14" s="14" t="str">
        <x:v>Key/token/Entra ID</x:v>
      </x:c>
      <x:c r="G14" s="14" t="str">
        <x:v>Underlying TCP stream can exhibit HOL</x:v>
      </x:c>
      <x:c r="H14" s="14" t="str">
        <x:v>No lossless standard resume</x:v>
      </x:c>
      <x:c r="I14" s="14" t="str">
        <x:v>G.711 through SDK/container; containers available</x:v>
      </x:c>
      <x:c r="J14" s="14" t="str">
        <x:v>Useful SDK abstraction and deployment precedent</x:v>
      </x:c>
    </x:row>
    <x:row r="15" ht="48" customHeight="1"/>
    <x:row r="16" ht="48" customHeight="1">
      <x:c r="A16" s="40" t="str">
        <x:v>Observed market pattern</x:v>
      </x:c>
      <x:c r="B16" s="33" t="str">
        <x:v>8 vendors expose public WebSocket realtime APIs; Google exposes public gRPC; Azure abstracts its service stream behind SDKs. OpenAI also exposes WebRTC and SIP. No reviewed vendor exposes QUIC/WebTransport or raw UDP as a public ASR interface.</x:v>
      </x:c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</x:row>
  </x:sheetData>
  <x:mergeCells>
    <x:mergeCell ref="A1:J1"/>
    <x:mergeCell ref="A2:J2"/>
    <x:mergeCell ref="B16:J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1.110000610351562" hidden="0" customWidth="1"/>
    <x:col min="3" max="3" width="16.110000610351562" hidden="0" customWidth="1"/>
    <x:col min="4" max="4" width="16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6.670000076293945" hidden="0" customWidth="1"/>
    <x:col min="9" max="9" width="27.780000686645508" hidden="0" customWidth="1"/>
  </x:cols>
  <x:sheetData>
    <x:row r="1" ht="28.5" customHeight="1">
      <x:c r="A1" s="3" t="str">
        <x:v>Proposed Voice AI ASR Profile</x:v>
      </x:c>
      <x:c r="B1" s="3" t="str">
        <x:v>Proposed Voice AI ASR Profile</x:v>
      </x:c>
      <x:c r="C1" s="3" t="str">
        <x:v>Proposed Voice AI ASR Profile</x:v>
      </x:c>
      <x:c r="D1" s="3" t="str">
        <x:v>Proposed Voice AI ASR Profile</x:v>
      </x:c>
      <x:c r="E1" s="3" t="str">
        <x:v>Proposed Voice AI ASR Profile</x:v>
      </x:c>
      <x:c r="F1" s="3" t="str">
        <x:v>Proposed Voice AI ASR Profile</x:v>
      </x:c>
      <x:c r="G1" s="3" t="str">
        <x:v>Proposed Voice AI ASR Profile</x:v>
      </x:c>
      <x:c r="H1" s="3" t="str">
        <x:v>Proposed Voice AI ASR Profile</x:v>
      </x:c>
      <x:c r="I1" s="3" t="str">
        <x:v>Proposed Voice AI ASR Profile</x:v>
      </x:c>
    </x:row>
    <x:row r="2" ht="25.5" customHeight="1">
      <x:c r="A2" s="5" t="str">
        <x:v>Working consortium draft: transport-neutral semantics with QUIC/WebTransport as the primary low-latency binding and WebSocket + RTP/SRTP compatibility bindings.</x:v>
      </x:c>
      <x:c r="B2" s="5" t="str">
        <x:v>Working consortium draft: transport-neutral semantics with QUIC/WebTransport as the primary low-latency binding and WebSocket + RTP/SRTP compatibility bindings.</x:v>
      </x:c>
      <x:c r="C2" s="5" t="str">
        <x:v>Working consortium draft: transport-neutral semantics with QUIC/WebTransport as the primary low-latency binding and WebSocket + RTP/SRTP compatibility bindings.</x:v>
      </x:c>
      <x:c r="D2" s="5" t="str">
        <x:v>Working consortium draft: transport-neutral semantics with QUIC/WebTransport as the primary low-latency binding and WebSocket + RTP/SRTP compatibility bindings.</x:v>
      </x:c>
      <x:c r="E2" s="5" t="str">
        <x:v>Working consortium draft: transport-neutral semantics with QUIC/WebTransport as the primary low-latency binding and WebSocket + RTP/SRTP compatibility bindings.</x:v>
      </x:c>
      <x:c r="F2" s="5" t="str">
        <x:v>Working consortium draft: transport-neutral semantics with QUIC/WebTransport as the primary low-latency binding and WebSocket + RTP/SRTP compatibility bindings.</x:v>
      </x:c>
      <x:c r="G2" s="5" t="str">
        <x:v>Working consortium draft: transport-neutral semantics with QUIC/WebTransport as the primary low-latency binding and WebSocket + RTP/SRTP compatibility bindings.</x:v>
      </x:c>
      <x:c r="H2" s="5" t="str">
        <x:v>Working consortium draft: transport-neutral semantics with QUIC/WebTransport as the primary low-latency binding and WebSocket + RTP/SRTP compatibility bindings.</x:v>
      </x:c>
      <x:c r="I2" s="5" t="str">
        <x:v>Working consortium draft: transport-neutral semantics with QUIC/WebTransport as the primary low-latency binding and WebSocket + RTP/SRTP compatibility bindings.</x:v>
      </x:c>
    </x:row>
    <x:row r="4">
      <x:c r="A4" s="10" t="str">
        <x:v>Layer</x:v>
      </x:c>
      <x:c r="B4" s="10" t="str">
        <x:v>Message / event</x:v>
      </x:c>
      <x:c r="C4" s="10" t="str">
        <x:v>Direction</x:v>
      </x:c>
      <x:c r="D4" s="10" t="str">
        <x:v>Reliability</x:v>
      </x:c>
      <x:c r="E4" s="10" t="str">
        <x:v>QUIC mapping</x:v>
      </x:c>
      <x:c r="F4" s="10" t="str">
        <x:v>WebSocket fallback</x:v>
      </x:c>
      <x:c r="G4" s="10" t="str">
        <x:v>Telephony mapping</x:v>
      </x:c>
      <x:c r="H4" s="10" t="str">
        <x:v>Required fields</x:v>
      </x:c>
      <x:c r="I4" s="10" t="str">
        <x:v>Notes</x:v>
      </x:c>
    </x:row>
    <x:row r="5" ht="43.5" customHeight="1">
      <x:c r="A5" s="32" t="str">
        <x:v>Session</x:v>
      </x:c>
      <x:c r="B5" s="15" t="str">
        <x:v>session.create</x:v>
      </x:c>
      <x:c r="C5" s="14" t="str">
        <x:v>Client → server</x:v>
      </x:c>
      <x:c r="D5" s="14" t="str">
        <x:v>Reliable + ordered</x:v>
      </x:c>
      <x:c r="E5" s="33" t="str">
        <x:v>Bidirectional control stream</x:v>
      </x:c>
      <x:c r="F5" s="22" t="str">
        <x:v>JSON text message</x:v>
      </x:c>
      <x:c r="G5" s="14" t="str">
        <x:v>SIP/SDP binding establishes equivalent session</x:v>
      </x:c>
      <x:c r="H5" s="14" t="str">
        <x:v>session_id, version, auth scope, capabilities</x:v>
      </x:c>
      <x:c r="I5" s="14" t="str">
        <x:v>Capability negotiation; vendor extensions namespaced</x:v>
      </x:c>
    </x:row>
    <x:row r="6" ht="43.5" customHeight="1">
      <x:c r="A6" s="32" t="str">
        <x:v>Session</x:v>
      </x:c>
      <x:c r="B6" s="15" t="str">
        <x:v>session.created</x:v>
      </x:c>
      <x:c r="C6" s="14" t="str">
        <x:v>Server → client</x:v>
      </x:c>
      <x:c r="D6" s="14" t="str">
        <x:v>Reliable + ordered</x:v>
      </x:c>
      <x:c r="E6" s="33" t="str">
        <x:v>Control stream</x:v>
      </x:c>
      <x:c r="F6" s="22" t="str">
        <x:v>JSON text message</x:v>
      </x:c>
      <x:c r="G6" s="14" t="str">
        <x:v>200/SDP response mapping</x:v>
      </x:c>
      <x:c r="H6" s="14" t="str">
        <x:v>session_id, negotiated profile, limits</x:v>
      </x:c>
      <x:c r="I6" s="14" t="str">
        <x:v>Returns selected codec, model, languages, extensions</x:v>
      </x:c>
    </x:row>
    <x:row r="7" ht="43.5" customHeight="1">
      <x:c r="A7" s="32" t="str">
        <x:v>Session</x:v>
      </x:c>
      <x:c r="B7" s="15" t="str">
        <x:v>session.update</x:v>
      </x:c>
      <x:c r="C7" s="14" t="str">
        <x:v>Client → server</x:v>
      </x:c>
      <x:c r="D7" s="14" t="str">
        <x:v>Reliable + ordered</x:v>
      </x:c>
      <x:c r="E7" s="33" t="str">
        <x:v>Control stream</x:v>
      </x:c>
      <x:c r="F7" s="22" t="str">
        <x:v>JSON text message</x:v>
      </x:c>
      <x:c r="G7" s="14" t="str">
        <x:v>Control-channel extension</x:v>
      </x:c>
      <x:c r="H7" s="14" t="str">
        <x:v>update_id, changed controls</x:v>
      </x:c>
      <x:c r="I7" s="14" t="str">
        <x:v>Atomic updates with applied/rejected response</x:v>
      </x:c>
    </x:row>
    <x:row r="8" ht="43.5" customHeight="1">
      <x:c r="A8" s="32" t="str">
        <x:v>Session</x:v>
      </x:c>
      <x:c r="B8" s="15" t="str">
        <x:v>session.close</x:v>
      </x:c>
      <x:c r="C8" s="14" t="str">
        <x:v>Either direction</x:v>
      </x:c>
      <x:c r="D8" s="14" t="str">
        <x:v>Reliable + ordered</x:v>
      </x:c>
      <x:c r="E8" s="33" t="str">
        <x:v>Control stream + CONNECTION_CLOSE after drain</x:v>
      </x:c>
      <x:c r="F8" s="22" t="str">
        <x:v>JSON close then WebSocket close</x:v>
      </x:c>
      <x:c r="G8" s="14" t="str">
        <x:v>BYE mapping</x:v>
      </x:c>
      <x:c r="H8" s="14" t="str">
        <x:v>reason, drain_results</x:v>
      </x:c>
      <x:c r="I8" s="14" t="str">
        <x:v>Graceful drain is distinct from cancel</x:v>
      </x:c>
    </x:row>
    <x:row r="9" ht="43.5" customHeight="1">
      <x:c r="A9" s="32" t="str">
        <x:v>Audio</x:v>
      </x:c>
      <x:c r="B9" s="15" t="str">
        <x:v>audio.configure</x:v>
      </x:c>
      <x:c r="C9" s="14" t="str">
        <x:v>Client → server</x:v>
      </x:c>
      <x:c r="D9" s="14" t="str">
        <x:v>Reliable + ordered</x:v>
      </x:c>
      <x:c r="E9" s="33" t="str">
        <x:v>Control stream</x:v>
      </x:c>
      <x:c r="F9" s="22" t="str">
        <x:v>JSON text message</x:v>
      </x:c>
      <x:c r="G9" s="14" t="str">
        <x:v>SDP/RTP payload mapping</x:v>
      </x:c>
      <x:c r="H9" s="14" t="str">
        <x:v>codec, sample_rate, channels, clock_rate</x:v>
      </x:c>
      <x:c r="I9" s="14" t="str">
        <x:v>Creates a codec epoch referenced by datagrams</x:v>
      </x:c>
    </x:row>
    <x:row r="10" ht="43.5" customHeight="1">
      <x:c r="A10" s="32" t="str">
        <x:v>Audio</x:v>
      </x:c>
      <x:c r="B10" s="15" t="str">
        <x:v>audio.frame</x:v>
      </x:c>
      <x:c r="C10" s="14" t="str">
        <x:v>Client → server</x:v>
      </x:c>
      <x:c r="D10" s="14" t="str">
        <x:v>Unreliable, congestion-controlled</x:v>
      </x:c>
      <x:c r="E10" s="33" t="str">
        <x:v>QUIC DATAGRAM with context ID</x:v>
      </x:c>
      <x:c r="F10" s="22" t="str">
        <x:v>Binary WebSocket fallback (reliable)</x:v>
      </x:c>
      <x:c r="G10" s="14" t="str">
        <x:v>RTP/SRTP packet</x:v>
      </x:c>
      <x:c r="H10" s="14" t="str">
        <x:v>stream_id, seq, media_timestamp, codec_epoch, payload</x:v>
      </x:c>
      <x:c r="I10" s="14" t="str">
        <x:v>Primary low-latency path; never retransmit stale audio</x:v>
      </x:c>
    </x:row>
    <x:row r="11" ht="43.5" customHeight="1">
      <x:c r="A11" s="32" t="str">
        <x:v>Audio</x:v>
      </x:c>
      <x:c r="B11" s="15" t="str">
        <x:v>audio.commit</x:v>
      </x:c>
      <x:c r="C11" s="14" t="str">
        <x:v>Client → server</x:v>
      </x:c>
      <x:c r="D11" s="14" t="str">
        <x:v>Reliable + ordered</x:v>
      </x:c>
      <x:c r="E11" s="33" t="str">
        <x:v>Control stream</x:v>
      </x:c>
      <x:c r="F11" s="22" t="str">
        <x:v>JSON text message</x:v>
      </x:c>
      <x:c r="G11" s="14" t="str">
        <x:v>Marker/control mapping</x:v>
      </x:c>
      <x:c r="H11" s="14" t="str">
        <x:v>audio_seq_end, commit_id</x:v>
      </x:c>
      <x:c r="I11" s="14" t="str">
        <x:v>For manual turns; server acknowledges final boundary</x:v>
      </x:c>
    </x:row>
    <x:row r="12" ht="43.5" customHeight="1">
      <x:c r="A12" s="32" t="str">
        <x:v>Audio</x:v>
      </x:c>
      <x:c r="B12" s="15" t="str">
        <x:v>audio.clear</x:v>
      </x:c>
      <x:c r="C12" s="14" t="str">
        <x:v>Client → server</x:v>
      </x:c>
      <x:c r="D12" s="14" t="str">
        <x:v>Reliable + ordered</x:v>
      </x:c>
      <x:c r="E12" s="33" t="str">
        <x:v>Control stream</x:v>
      </x:c>
      <x:c r="F12" s="22" t="str">
        <x:v>JSON text message</x:v>
      </x:c>
      <x:c r="G12" s="14" t="str">
        <x:v>Control mapping</x:v>
      </x:c>
      <x:c r="H12" s="14" t="str">
        <x:v>through_seq, reason</x:v>
      </x:c>
      <x:c r="I12" s="14" t="str">
        <x:v>Drop queued, unprocessed audio after barge-in/cancel</x:v>
      </x:c>
    </x:row>
    <x:row r="13" ht="43.5" customHeight="1">
      <x:c r="A13" s="32" t="str">
        <x:v>Recognition</x:v>
      </x:c>
      <x:c r="B13" s="15" t="str">
        <x:v>recognition.start</x:v>
      </x:c>
      <x:c r="C13" s="14" t="str">
        <x:v>Client → server</x:v>
      </x:c>
      <x:c r="D13" s="14" t="str">
        <x:v>Reliable + ordered</x:v>
      </x:c>
      <x:c r="E13" s="33" t="str">
        <x:v>Control stream</x:v>
      </x:c>
      <x:c r="F13" s="22" t="str">
        <x:v>JSON text message</x:v>
      </x:c>
      <x:c r="G13" s="14" t="str">
        <x:v>MRCP/RTP control mapping</x:v>
      </x:c>
      <x:c r="H13" s="14" t="str">
        <x:v>recognition_id, controls</x:v>
      </x:c>
      <x:c r="I13" s="14" t="str">
        <x:v>May be implicit at session.create in simple profile</x:v>
      </x:c>
    </x:row>
    <x:row r="14" ht="43.5" customHeight="1">
      <x:c r="A14" s="32" t="str">
        <x:v>Recognition</x:v>
      </x:c>
      <x:c r="B14" s="15" t="str">
        <x:v>recognition.cancel</x:v>
      </x:c>
      <x:c r="C14" s="14" t="str">
        <x:v>Client → server</x:v>
      </x:c>
      <x:c r="D14" s="14" t="str">
        <x:v>Reliable + ordered</x:v>
      </x:c>
      <x:c r="E14" s="33" t="str">
        <x:v>Control stream</x:v>
      </x:c>
      <x:c r="F14" s="22" t="str">
        <x:v>JSON text message</x:v>
      </x:c>
      <x:c r="G14" s="14" t="str">
        <x:v>MRCP STOP mapping</x:v>
      </x:c>
      <x:c r="H14" s="14" t="str">
        <x:v>recognition_id, reason</x:v>
      </x:c>
      <x:c r="I14" s="14" t="str">
        <x:v>Stops decoding without closing the media session</x:v>
      </x:c>
    </x:row>
    <x:row r="15" ht="43.5" customHeight="1">
      <x:c r="A15" s="32" t="str">
        <x:v>Input events</x:v>
      </x:c>
      <x:c r="B15" s="15" t="str">
        <x:v>input.speech_started</x:v>
      </x:c>
      <x:c r="C15" s="14" t="str">
        <x:v>Server → client</x:v>
      </x:c>
      <x:c r="D15" s="14" t="str">
        <x:v>Reliable + ordered</x:v>
      </x:c>
      <x:c r="E15" s="33" t="str">
        <x:v>Result/event stream</x:v>
      </x:c>
      <x:c r="F15" s="22" t="str">
        <x:v>JSON text message</x:v>
      </x:c>
      <x:c r="G15" s="14" t="str">
        <x:v>Control event</x:v>
      </x:c>
      <x:c r="H15" s="14" t="str">
        <x:v>recognition_id, audio_seq, media_timestamp</x:v>
      </x:c>
      <x:c r="I15" s="14" t="str">
        <x:v>Canonical barge-in signal</x:v>
      </x:c>
    </x:row>
    <x:row r="16" ht="43.5" customHeight="1">
      <x:c r="A16" s="32" t="str">
        <x:v>Input events</x:v>
      </x:c>
      <x:c r="B16" s="15" t="str">
        <x:v>input.speech_stopped</x:v>
      </x:c>
      <x:c r="C16" s="14" t="str">
        <x:v>Server → client</x:v>
      </x:c>
      <x:c r="D16" s="14" t="str">
        <x:v>Reliable + ordered</x:v>
      </x:c>
      <x:c r="E16" s="33" t="str">
        <x:v>Result/event stream</x:v>
      </x:c>
      <x:c r="F16" s="22" t="str">
        <x:v>JSON text message</x:v>
      </x:c>
      <x:c r="G16" s="14" t="str">
        <x:v>Control event</x:v>
      </x:c>
      <x:c r="H16" s="14" t="str">
        <x:v>recognition_id, audio_seq, media_timestamp</x:v>
      </x:c>
      <x:c r="I16" s="14" t="str">
        <x:v>VAD boundary, not necessarily semantic turn end</x:v>
      </x:c>
    </x:row>
    <x:row r="17" ht="43.5" customHeight="1">
      <x:c r="A17" s="32" t="str">
        <x:v>Turn events</x:v>
      </x:c>
      <x:c r="B17" s="15" t="str">
        <x:v>turn.eager_end</x:v>
      </x:c>
      <x:c r="C17" s="14" t="str">
        <x:v>Server → client</x:v>
      </x:c>
      <x:c r="D17" s="14" t="str">
        <x:v>Reliable + ordered</x:v>
      </x:c>
      <x:c r="E17" s="33" t="str">
        <x:v>Result/event stream</x:v>
      </x:c>
      <x:c r="F17" s="22" t="str">
        <x:v>JSON text message</x:v>
      </x:c>
      <x:c r="G17" s="14" t="str">
        <x:v>Control event</x:v>
      </x:c>
      <x:c r="H17" s="14" t="str">
        <x:v>turn_id, confidence, transcript_revision</x:v>
      </x:c>
      <x:c r="I17" s="14" t="str">
        <x:v>Speculative agent start; must be reversible</x:v>
      </x:c>
    </x:row>
    <x:row r="18" ht="43.5" customHeight="1">
      <x:c r="A18" s="32" t="str">
        <x:v>Turn events</x:v>
      </x:c>
      <x:c r="B18" s="15" t="str">
        <x:v>turn.resumed</x:v>
      </x:c>
      <x:c r="C18" s="14" t="str">
        <x:v>Server → client</x:v>
      </x:c>
      <x:c r="D18" s="14" t="str">
        <x:v>Reliable + ordered</x:v>
      </x:c>
      <x:c r="E18" s="33" t="str">
        <x:v>Result/event stream</x:v>
      </x:c>
      <x:c r="F18" s="22" t="str">
        <x:v>JSON text message</x:v>
      </x:c>
      <x:c r="G18" s="14" t="str">
        <x:v>Control event</x:v>
      </x:c>
      <x:c r="H18" s="14" t="str">
        <x:v>turn_id, reason</x:v>
      </x:c>
      <x:c r="I18" s="14" t="str">
        <x:v>Cancels speculative response when speaker continues</x:v>
      </x:c>
    </x:row>
    <x:row r="19" ht="43.5" customHeight="1">
      <x:c r="A19" s="32" t="str">
        <x:v>Turn events</x:v>
      </x:c>
      <x:c r="B19" s="15" t="str">
        <x:v>turn.ended</x:v>
      </x:c>
      <x:c r="C19" s="14" t="str">
        <x:v>Server → client</x:v>
      </x:c>
      <x:c r="D19" s="14" t="str">
        <x:v>Reliable + ordered</x:v>
      </x:c>
      <x:c r="E19" s="33" t="str">
        <x:v>Result/event stream</x:v>
      </x:c>
      <x:c r="F19" s="22" t="str">
        <x:v>JSON text message</x:v>
      </x:c>
      <x:c r="G19" s="14" t="str">
        <x:v>Control event</x:v>
      </x:c>
      <x:c r="H19" s="14" t="str">
        <x:v>turn_id, reason, final_audio_seq</x:v>
      </x:c>
      <x:c r="I19" s="14" t="str">
        <x:v>Reason enum: silence, semantic, manual, max_duration</x:v>
      </x:c>
    </x:row>
    <x:row r="20" ht="43.5" customHeight="1">
      <x:c r="A20" s="32" t="str">
        <x:v>Transcript</x:v>
      </x:c>
      <x:c r="B20" s="15" t="str">
        <x:v>transcript.delta</x:v>
      </x:c>
      <x:c r="C20" s="14" t="str">
        <x:v>Server → client</x:v>
      </x:c>
      <x:c r="D20" s="14" t="str">
        <x:v>Reliable + ordered</x:v>
      </x:c>
      <x:c r="E20" s="33" t="str">
        <x:v>Dedicated result stream</x:v>
      </x:c>
      <x:c r="F20" s="22" t="str">
        <x:v>JSON text message</x:v>
      </x:c>
      <x:c r="G20" s="14" t="str">
        <x:v>Control event</x:v>
      </x:c>
      <x:c r="H20" s="14" t="str">
        <x:v>item_id, revision, text_delta, timing optional</x:v>
      </x:c>
      <x:c r="I20" s="14" t="str">
        <x:v>Revision rules prevent vendor-specific ambiguity</x:v>
      </x:c>
    </x:row>
    <x:row r="21" ht="43.5" customHeight="1">
      <x:c r="A21" s="32" t="str">
        <x:v>Transcript</x:v>
      </x:c>
      <x:c r="B21" s="15" t="str">
        <x:v>transcript.committed</x:v>
      </x:c>
      <x:c r="C21" s="14" t="str">
        <x:v>Server → client</x:v>
      </x:c>
      <x:c r="D21" s="14" t="str">
        <x:v>Reliable + ordered</x:v>
      </x:c>
      <x:c r="E21" s="33" t="str">
        <x:v>Result stream</x:v>
      </x:c>
      <x:c r="F21" s="22" t="str">
        <x:v>JSON text message</x:v>
      </x:c>
      <x:c r="G21" s="14" t="str">
        <x:v>Control event</x:v>
      </x:c>
      <x:c r="H21" s="14" t="str">
        <x:v>item_id, revision, immutable_text</x:v>
      </x:c>
      <x:c r="I21" s="14" t="str">
        <x:v>Immutable segment; may precede whole-turn final</x:v>
      </x:c>
    </x:row>
    <x:row r="22" ht="43.5" customHeight="1">
      <x:c r="A22" s="32" t="str">
        <x:v>Transcript</x:v>
      </x:c>
      <x:c r="B22" s="15" t="str">
        <x:v>transcript.final</x:v>
      </x:c>
      <x:c r="C22" s="14" t="str">
        <x:v>Server → client</x:v>
      </x:c>
      <x:c r="D22" s="14" t="str">
        <x:v>Reliable + ordered</x:v>
      </x:c>
      <x:c r="E22" s="33" t="str">
        <x:v>Result stream</x:v>
      </x:c>
      <x:c r="F22" s="22" t="str">
        <x:v>JSON text message</x:v>
      </x:c>
      <x:c r="G22" s="14" t="str">
        <x:v>Control event</x:v>
      </x:c>
      <x:c r="H22" s="14" t="str">
        <x:v>turn_id, text, words?, confidence?, alternatives?</x:v>
      </x:c>
      <x:c r="I22" s="14" t="str">
        <x:v>Normalized optional result fields</x:v>
      </x:c>
    </x:row>
    <x:row r="23" ht="43.5" customHeight="1">
      <x:c r="A23" s="32" t="str">
        <x:v>Recognition</x:v>
      </x:c>
      <x:c r="B23" s="15" t="str">
        <x:v>recognition.completed</x:v>
      </x:c>
      <x:c r="C23" s="14" t="str">
        <x:v>Server → client</x:v>
      </x:c>
      <x:c r="D23" s="14" t="str">
        <x:v>Reliable + ordered</x:v>
      </x:c>
      <x:c r="E23" s="33" t="str">
        <x:v>Result stream</x:v>
      </x:c>
      <x:c r="F23" s="22" t="str">
        <x:v>JSON text message</x:v>
      </x:c>
      <x:c r="G23" s="14" t="str">
        <x:v>MRCP COMPLETE mapping</x:v>
      </x:c>
      <x:c r="H23" s="14" t="str">
        <x:v>recognition_id, reason, usage</x:v>
      </x:c>
      <x:c r="I23" s="14" t="str">
        <x:v>Completion is distinct from transport closure</x:v>
      </x:c>
    </x:row>
    <x:row r="24" ht="43.5" customHeight="1">
      <x:c r="A24" s="32" t="str">
        <x:v>Recognition</x:v>
      </x:c>
      <x:c r="B24" s="15" t="str">
        <x:v>recognition.failed</x:v>
      </x:c>
      <x:c r="C24" s="14" t="str">
        <x:v>Server → client</x:v>
      </x:c>
      <x:c r="D24" s="14" t="str">
        <x:v>Reliable + ordered</x:v>
      </x:c>
      <x:c r="E24" s="33" t="str">
        <x:v>Result stream</x:v>
      </x:c>
      <x:c r="F24" s="22" t="str">
        <x:v>JSON text message</x:v>
      </x:c>
      <x:c r="G24" s="14" t="str">
        <x:v>MRCP error mapping</x:v>
      </x:c>
      <x:c r="H24" s="14" t="str">
        <x:v>code, retryable, details</x:v>
      </x:c>
      <x:c r="I24" s="14" t="str">
        <x:v>Portable error taxonomy</x:v>
      </x:c>
    </x:row>
    <x:row r="25" ht="43.5" customHeight="1">
      <x:c r="A25" s="32" t="str">
        <x:v>Operations</x:v>
      </x:c>
      <x:c r="B25" s="15" t="str">
        <x:v>usage</x:v>
      </x:c>
      <x:c r="C25" s="14" t="str">
        <x:v>Server → client</x:v>
      </x:c>
      <x:c r="D25" s="14" t="str">
        <x:v>Reliable + ordered</x:v>
      </x:c>
      <x:c r="E25" s="33" t="str">
        <x:v>Result stream</x:v>
      </x:c>
      <x:c r="F25" s="22" t="str">
        <x:v>JSON text message</x:v>
      </x:c>
      <x:c r="G25" s="14" t="str">
        <x:v>Control extension</x:v>
      </x:c>
      <x:c r="H25" s="14" t="str">
        <x:v>audio_ms, billed_ms, model_units</x:v>
      </x:c>
      <x:c r="I25" s="14" t="str">
        <x:v>Common observability and billing counters</x:v>
      </x:c>
    </x:row>
    <x:row r="26" ht="43.5" customHeight="1">
      <x:c r="A26" s="32" t="str">
        <x:v>Operations</x:v>
      </x:c>
      <x:c r="B26" s="15" t="str">
        <x:v>ping / pong</x:v>
      </x:c>
      <x:c r="C26" s="14" t="str">
        <x:v>Either direction</x:v>
      </x:c>
      <x:c r="D26" s="14" t="str">
        <x:v>Unreliable or reliable</x:v>
      </x:c>
      <x:c r="E26" s="33" t="str">
        <x:v>QUIC PING or control event</x:v>
      </x:c>
      <x:c r="F26" s="22" t="str">
        <x:v>WebSocket ping/pong</x:v>
      </x:c>
      <x:c r="G26" s="14" t="str">
        <x:v>Binding-specific</x:v>
      </x:c>
      <x:c r="H26" s="14" t="str">
        <x:v>nonce, timestamp</x:v>
      </x:c>
      <x:c r="I26" s="14" t="str">
        <x:v>Application event only if RTT/health is exposed</x:v>
      </x:c>
    </x:row>
    <x:row r="27" ht="43.5" customHeight="1"/>
    <x:row r="28" ht="43.5" customHeight="1">
      <x:c r="A28" s="10" t="str">
        <x:v>Design principle</x:v>
      </x:c>
      <x:c r="B28" s="10" t="str">
        <x:v>Requirement</x:v>
      </x:c>
      <x:c r="C28" s="10" t="str">
        <x:v>Rationale</x:v>
      </x:c>
      <x:c r="D28" s="10" t="str"/>
      <x:c r="E28" s="10" t="str"/>
      <x:c r="F28" s="10" t="str"/>
      <x:c r="G28" s="10" t="str"/>
      <x:c r="H28" s="10" t="str"/>
      <x:c r="I28" s="10" t="str"/>
    </x:row>
    <x:row r="29" ht="43.5" customHeight="1">
      <x:c r="A29" s="23" t="str">
        <x:v>No raw UDP profile</x:v>
      </x:c>
      <x:c r="B29" s="14" t="str">
        <x:v>Use QUIC DATAGRAM or RTP/SRTP, not bespoke UDP.</x:v>
      </x:c>
      <x:c r="C29" s="14" t="str">
        <x:v>Security, congestion control, NAT traversal, browser compatibility, and operations all need standardized behavior.</x:v>
      </x:c>
      <x:c r="D29" s="14"/>
      <x:c r="E29" s="14"/>
      <x:c r="F29" s="14"/>
      <x:c r="G29" s="14"/>
      <x:c r="H29" s="14"/>
      <x:c r="I29" s="14"/>
    </x:row>
    <x:row r="30" ht="43.5" customHeight="1">
      <x:c r="A30" s="23" t="str">
        <x:v>Split media from state</x:v>
      </x:c>
      <x:c r="B30" s="14" t="str">
        <x:v>Audio frames may be lost; session controls and transcript state may not.</x:v>
      </x:c>
      <x:c r="C30" s="14" t="str">
        <x:v>QUIC DATAGRAM removes retransmission delay for stale audio while reliable streams protect semantic state.</x:v>
      </x:c>
      <x:c r="D30" s="14"/>
      <x:c r="E30" s="14"/>
      <x:c r="F30" s="14"/>
      <x:c r="G30" s="14"/>
      <x:c r="H30" s="14"/>
      <x:c r="I30" s="14"/>
    </x:row>
    <x:row r="31" ht="43.5" customHeight="1">
      <x:c r="A31" s="23" t="str">
        <x:v>One state machine</x:v>
      </x:c>
      <x:c r="B31" s="14" t="str">
        <x:v>Define partial → committed → final and turn start → eager end → resume/end precisely.</x:v>
      </x:c>
      <x:c r="C31" s="14" t="str">
        <x:v>Most current integration bugs are semantic mismatch, not JSON syntax.</x:v>
      </x:c>
      <x:c r="D31" s="14"/>
      <x:c r="E31" s="14"/>
      <x:c r="F31" s="14"/>
      <x:c r="G31" s="14"/>
      <x:c r="H31" s="14"/>
      <x:c r="I31" s="14"/>
    </x:row>
    <x:row r="32" ht="43.5" customHeight="1">
      <x:c r="A32" s="23" t="str">
        <x:v>Monotonic sequencing</x:v>
      </x:c>
      <x:c r="B32" s="14" t="str">
        <x:v>Every audio datagram has seq + media_timestamp; every transcript item has revision.</x:v>
      </x:c>
      <x:c r="C32" s="14" t="str">
        <x:v>Enables loss accounting, deduplication, reordering tolerance, and deterministic conformance tests.</x:v>
      </x:c>
      <x:c r="D32" s="14"/>
      <x:c r="E32" s="14"/>
      <x:c r="F32" s="14"/>
      <x:c r="G32" s="14"/>
      <x:c r="H32" s="14"/>
      <x:c r="I32" s="14"/>
    </x:row>
    <x:row r="33" ht="43.5" customHeight="1">
      <x:c r="A33" s="23" t="str">
        <x:v>Codec epochs</x:v>
      </x:c>
      <x:c r="B33" s="14" t="str">
        <x:v>Configuration changes create a new codec_epoch referenced by following frames.</x:v>
      </x:c>
      <x:c r="C33" s="14" t="str">
        <x:v>Avoids ambiguous midstream sample-rate/channel/codec transitions.</x:v>
      </x:c>
      <x:c r="D33" s="14"/>
      <x:c r="E33" s="14"/>
      <x:c r="F33" s="14"/>
      <x:c r="G33" s="14"/>
      <x:c r="H33" s="14"/>
      <x:c r="I33" s="14"/>
    </x:row>
    <x:row r="34" ht="43.5" customHeight="1">
      <x:c r="A34" s="23" t="str">
        <x:v>MTU discipline</x:v>
      </x:c>
      <x:c r="B34" s="14" t="str">
        <x:v>Audio datagrams must fit the negotiated path MTU; fragmentation is forbidden at the profile layer.</x:v>
      </x:c>
      <x:c r="C34" s="14" t="str">
        <x:v>Prevents large-frame loss amplification and unpredictable latency.</x:v>
      </x:c>
      <x:c r="D34" s="14"/>
      <x:c r="E34" s="14"/>
      <x:c r="F34" s="14"/>
      <x:c r="G34" s="14"/>
      <x:c r="H34" s="14"/>
      <x:c r="I34" s="14"/>
    </x:row>
    <x:row r="35" ht="43.5" customHeight="1">
      <x:c r="A35" s="23" t="str">
        <x:v>Extensibility</x:v>
      </x:c>
      <x:c r="B35" s="14" t="str">
        <x:v>Unknown fields ignored; vendor extensions use reverse-domain namespaces and negotiated capabilities.</x:v>
      </x:c>
      <x:c r="C35" s="14" t="str">
        <x:v>Lets vendors innovate without forking the portable core.</x:v>
      </x:c>
      <x:c r="D35" s="14"/>
      <x:c r="E35" s="14"/>
      <x:c r="F35" s="14"/>
      <x:c r="G35" s="14"/>
      <x:c r="H35" s="14"/>
      <x:c r="I35" s="14"/>
    </x:row>
    <x:row r="36" ht="43.5" customHeight="1">
      <x:c r="A36" s="23" t="str">
        <x:v>Conformance before governance</x:v>
      </x:c>
      <x:c r="B36" s="14" t="str">
        <x:v>Publish schema, golden traces, emulator, and two-provider adapters before formal SDO submission.</x:v>
      </x:c>
      <x:c r="C36" s="14" t="str">
        <x:v>Interoperable running code gives a consortium credible scope and evidence.</x:v>
      </x:c>
      <x:c r="D36" s="14"/>
      <x:c r="E36" s="14"/>
      <x:c r="F36" s="14"/>
      <x:c r="G36" s="14"/>
      <x:c r="H36" s="14"/>
      <x:c r="I36" s="14"/>
    </x:row>
  </x:sheetData>
  <x:mergeCells>
    <x:mergeCell ref="A1:I1"/>
    <x:mergeCell ref="A2:I2"/>
    <x:mergeCell ref="C28:I28"/>
    <x:mergeCell ref="C29:I29"/>
    <x:mergeCell ref="C30:I30"/>
    <x:mergeCell ref="C31:I31"/>
    <x:mergeCell ref="C32:I32"/>
    <x:mergeCell ref="C33:I33"/>
    <x:mergeCell ref="C34:I34"/>
    <x:mergeCell ref="C35:I35"/>
    <x:mergeCell ref="C36:I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219999313354492" hidden="0" customWidth="1"/>
    <x:col min="3" max="3" width="57.779998779296875" hidden="0" customWidth="1"/>
    <x:col min="4" max="4" width="11.670000076293945" hidden="0" customWidth="1"/>
    <x:col min="5" max="5" width="26.110000610351562" hidden="0" customWidth="1"/>
  </x:cols>
  <x:sheetData>
    <x:row r="1" ht="28.5" customHeight="1">
      <x:c r="A1" s="3" t="str">
        <x:v>Evidence</x:v>
      </x:c>
      <x:c r="B1" s="3" t="str">
        <x:v>Evidence</x:v>
      </x:c>
      <x:c r="C1" s="3" t="str">
        <x:v>Evidence</x:v>
      </x:c>
      <x:c r="D1" s="3" t="str">
        <x:v>Evidence</x:v>
      </x:c>
      <x:c r="E1" s="3" t="str">
        <x:v>Evidence</x:v>
      </x:c>
    </x:row>
    <x:row r="2" ht="25.5" customHeight="1">
      <x:c r="A2" s="5" t="str">
        <x:v>Official documentation used for the matrix. Accessed 2026-07-31. URLs are intentionally visible for auditability.</x:v>
      </x:c>
      <x:c r="B2" s="5" t="str">
        <x:v>Official documentation used for the matrix. Accessed 2026-07-31. URLs are intentionally visible for auditability.</x:v>
      </x:c>
      <x:c r="C2" s="5" t="str">
        <x:v>Official documentation used for the matrix. Accessed 2026-07-31. URLs are intentionally visible for auditability.</x:v>
      </x:c>
      <x:c r="D2" s="5" t="str">
        <x:v>Official documentation used for the matrix. Accessed 2026-07-31. URLs are intentionally visible for auditability.</x:v>
      </x:c>
      <x:c r="E2" s="5" t="str">
        <x:v>Official documentation used for the matrix. Accessed 2026-07-31. URLs are intentionally visible for auditability.</x:v>
      </x:c>
    </x:row>
    <x:row r="4">
      <x:c r="A4" s="10" t="str">
        <x:v>Provider / body</x:v>
      </x:c>
      <x:c r="B4" s="10" t="str">
        <x:v>Topic</x:v>
      </x:c>
      <x:c r="C4" s="10" t="str">
        <x:v>Official source URL</x:v>
      </x:c>
      <x:c r="D4" s="10" t="str">
        <x:v>Accessed</x:v>
      </x:c>
      <x:c r="E4" s="10" t="str">
        <x:v>Supports</x:v>
      </x:c>
    </x:row>
    <x:row r="5" ht="27" customHeight="1">
      <x:c r="A5" s="23" t="str">
        <x:v>Deepgram</x:v>
      </x:c>
      <x:c r="B5" s="14" t="str">
        <x:v>Streaming API</x:v>
      </x:c>
      <x:c r="C5" s="41" t="str">
        <x:v>https://developers.deepgram.com/reference/speech-to-text/listen-streaming</x:v>
      </x:c>
      <x:c r="D5" s="42" t="str">
        <x:v>2026-07-31</x:v>
      </x:c>
      <x:c r="E5" s="14" t="str">
        <x:v>Transport, auth, realtime request/response</x:v>
      </x:c>
    </x:row>
    <x:row r="6" ht="27" customHeight="1">
      <x:c r="A6" s="23" t="str">
        <x:v>Deepgram</x:v>
      </x:c>
      <x:c r="B6" s="14" t="str">
        <x:v>Prerecorded API</x:v>
      </x:c>
      <x:c r="C6" s="41" t="str">
        <x:v>https://developers.deepgram.com/reference/speech-to-text/listen-pre-recorded</x:v>
      </x:c>
      <x:c r="D6" s="42" t="str">
        <x:v>2026-07-31</x:v>
      </x:c>
      <x:c r="E6" s="14" t="str">
        <x:v>Batch REST surface</x:v>
      </x:c>
    </x:row>
    <x:row r="7" ht="27" customHeight="1">
      <x:c r="A7" s="23" t="str">
        <x:v>Deepgram</x:v>
      </x:c>
      <x:c r="B7" s="14" t="str">
        <x:v>Audio encodings</x:v>
      </x:c>
      <x:c r="C7" s="41" t="str">
        <x:v>https://developers.deepgram.com/docs/encoding</x:v>
      </x:c>
      <x:c r="D7" s="42" t="str">
        <x:v>2026-07-31</x:v>
      </x:c>
      <x:c r="E7" s="14" t="str">
        <x:v>Raw codecs and sample rates</x:v>
      </x:c>
    </x:row>
    <x:row r="8" ht="27" customHeight="1">
      <x:c r="A8" s="23" t="str">
        <x:v>Deepgram</x:v>
      </x:c>
      <x:c r="B8" s="14" t="str">
        <x:v>Endpointing</x:v>
      </x:c>
      <x:c r="C8" s="41" t="str">
        <x:v>https://developers.deepgram.com/docs/endpointing</x:v>
      </x:c>
      <x:c r="D8" s="42" t="str">
        <x:v>2026-07-31</x:v>
      </x:c>
      <x:c r="E8" s="14" t="str">
        <x:v>VAD and silence controls</x:v>
      </x:c>
    </x:row>
    <x:row r="9" ht="27" customHeight="1">
      <x:c r="A9" s="23" t="str">
        <x:v>Deepgram</x:v>
      </x:c>
      <x:c r="B9" s="14" t="str">
        <x:v>Utterance end</x:v>
      </x:c>
      <x:c r="C9" s="41" t="str">
        <x:v>https://developers.deepgram.com/docs/utterance-end</x:v>
      </x:c>
      <x:c r="D9" s="42" t="str">
        <x:v>2026-07-31</x:v>
      </x:c>
      <x:c r="E9" s="14" t="str">
        <x:v>UtteranceEnd event</x:v>
      </x:c>
    </x:row>
    <x:row r="10" ht="27" customHeight="1">
      <x:c r="A10" s="23" t="str">
        <x:v>Deepgram</x:v>
      </x:c>
      <x:c r="B10" s="14" t="str">
        <x:v>Finalize</x:v>
      </x:c>
      <x:c r="C10" s="41" t="str">
        <x:v>https://developers.deepgram.com/docs/finalize</x:v>
      </x:c>
      <x:c r="D10" s="42" t="str">
        <x:v>2026-07-31</x:v>
      </x:c>
      <x:c r="E10" s="14" t="str">
        <x:v>Manual finalization</x:v>
      </x:c>
    </x:row>
    <x:row r="11" ht="27" customHeight="1">
      <x:c r="A11" s="23" t="str">
        <x:v>Deepgram</x:v>
      </x:c>
      <x:c r="B11" s="14" t="str">
        <x:v>Flux configuration</x:v>
      </x:c>
      <x:c r="C11" s="41" t="str">
        <x:v>https://developers.deepgram.com/docs/flux/configuration</x:v>
      </x:c>
      <x:c r="D11" s="42" t="str">
        <x:v>2026-07-31</x:v>
      </x:c>
      <x:c r="E11" s="14" t="str">
        <x:v>Model-native turn controls</x:v>
      </x:c>
    </x:row>
    <x:row r="12" ht="27" customHeight="1">
      <x:c r="A12" s="23" t="str">
        <x:v>Deepgram</x:v>
      </x:c>
      <x:c r="B12" s="14" t="str">
        <x:v>Flux dynamic configure</x:v>
      </x:c>
      <x:c r="C12" s="41" t="str">
        <x:v>https://developers.deepgram.com/docs/flux/configure</x:v>
      </x:c>
      <x:c r="D12" s="42" t="str">
        <x:v>2026-07-31</x:v>
      </x:c>
      <x:c r="E12" s="14" t="str">
        <x:v>Mid-session updates</x:v>
      </x:c>
    </x:row>
    <x:row r="13" ht="27" customHeight="1">
      <x:c r="A13" s="23" t="str">
        <x:v>Deepgram</x:v>
      </x:c>
      <x:c r="B13" s="14" t="str">
        <x:v>Confidence</x:v>
      </x:c>
      <x:c r="C13" s="41" t="str">
        <x:v>https://developers.deepgram.com/docs/confidence</x:v>
      </x:c>
      <x:c r="D13" s="42" t="str">
        <x:v>2026-07-31</x:v>
      </x:c>
      <x:c r="E13" s="14" t="str">
        <x:v>Confidence and alternatives behavior</x:v>
      </x:c>
    </x:row>
    <x:row r="14" ht="27" customHeight="1">
      <x:c r="A14" s="23" t="str">
        <x:v>Deepgram</x:v>
      </x:c>
      <x:c r="B14" s="14" t="str">
        <x:v>Redaction</x:v>
      </x:c>
      <x:c r="C14" s="41" t="str">
        <x:v>https://developers.deepgram.com/docs/redaction</x:v>
      </x:c>
      <x:c r="D14" s="42" t="str">
        <x:v>2026-07-31</x:v>
      </x:c>
      <x:c r="E14" s="14" t="str">
        <x:v>PII/PCI/PHI controls</x:v>
      </x:c>
    </x:row>
    <x:row r="15" ht="27" customHeight="1">
      <x:c r="A15" s="23" t="str">
        <x:v>Deepgram</x:v>
      </x:c>
      <x:c r="B15" s="14" t="str">
        <x:v>Channels and diarization</x:v>
      </x:c>
      <x:c r="C15" s="41" t="str">
        <x:v>https://developers.deepgram.com/docs/multichannel-vs-diarization</x:v>
      </x:c>
      <x:c r="D15" s="42" t="str">
        <x:v>2026-07-31</x:v>
      </x:c>
      <x:c r="E15" s="14" t="str">
        <x:v>Speaker and channel semantics</x:v>
      </x:c>
    </x:row>
    <x:row r="16" ht="27" customHeight="1">
      <x:c r="A16" s="23" t="str">
        <x:v>Speechmatics</x:v>
      </x:c>
      <x:c r="B16" s="14" t="str">
        <x:v>Realtime quickstart</x:v>
      </x:c>
      <x:c r="C16" s="41" t="str">
        <x:v>https://docs.speechmatics.com/speech-to-text/realtime/quickstart</x:v>
      </x:c>
      <x:c r="D16" s="42" t="str">
        <x:v>2026-07-31</x:v>
      </x:c>
      <x:c r="E16" s="14" t="str">
        <x:v>Realtime WebSocket flow</x:v>
      </x:c>
    </x:row>
    <x:row r="17" ht="27" customHeight="1">
      <x:c r="A17" s="23" t="str">
        <x:v>Speechmatics</x:v>
      </x:c>
      <x:c r="B17" s="14" t="str">
        <x:v>Realtime API reference</x:v>
      </x:c>
      <x:c r="C17" s="41" t="str">
        <x:v>https://docs.speechmatics.com/api-ref/realtime-transcription-websocket</x:v>
      </x:c>
      <x:c r="D17" s="42" t="str">
        <x:v>2026-07-31</x:v>
      </x:c>
      <x:c r="E17" s="14" t="str">
        <x:v>Messages, audio, results, configuration</x:v>
      </x:c>
    </x:row>
    <x:row r="18" ht="27" customHeight="1">
      <x:c r="A18" s="23" t="str">
        <x:v>Speechmatics</x:v>
      </x:c>
      <x:c r="B18" s="14" t="str">
        <x:v>Turn detection</x:v>
      </x:c>
      <x:c r="C18" s="41" t="str">
        <x:v>https://docs.speechmatics.com/speech-to-text/realtime/turn-detection</x:v>
      </x:c>
      <x:c r="D18" s="42" t="str">
        <x:v>2026-07-31</x:v>
      </x:c>
      <x:c r="E18" s="14" t="str">
        <x:v>End-of-utterance controls</x:v>
      </x:c>
    </x:row>
    <x:row r="19" ht="27" customHeight="1">
      <x:c r="A19" s="23" t="str">
        <x:v>Speechmatics</x:v>
      </x:c>
      <x:c r="B19" s="14" t="str">
        <x:v>Realtime diarization</x:v>
      </x:c>
      <x:c r="C19" s="41" t="str">
        <x:v>https://docs.speechmatics.com/speech-to-text/realtime/realtime-diarization</x:v>
      </x:c>
      <x:c r="D19" s="42" t="str">
        <x:v>2026-07-31</x:v>
      </x:c>
      <x:c r="E19" s="14" t="str">
        <x:v>Speaker/channel modes</x:v>
      </x:c>
    </x:row>
    <x:row r="20" ht="27" customHeight="1">
      <x:c r="A20" s="23" t="str">
        <x:v>Speechmatics</x:v>
      </x:c>
      <x:c r="B20" s="14" t="str">
        <x:v>Custom dictionary</x:v>
      </x:c>
      <x:c r="C20" s="41" t="str">
        <x:v>https://docs.speechmatics.com/speech-to-text/features/custom-dictionary</x:v>
      </x:c>
      <x:c r="D20" s="42" t="str">
        <x:v>2026-07-31</x:v>
      </x:c>
      <x:c r="E20" s="14" t="str">
        <x:v>Vocabulary and sounds-like</x:v>
      </x:c>
    </x:row>
    <x:row r="21" ht="27" customHeight="1">
      <x:c r="A21" s="23" t="str">
        <x:v>Speechmatics</x:v>
      </x:c>
      <x:c r="B21" s="14" t="str">
        <x:v>Translation</x:v>
      </x:c>
      <x:c r="C21" s="41" t="str">
        <x:v>https://docs.speechmatics.com/speech-to-text/features/translation</x:v>
      </x:c>
      <x:c r="D21" s="42" t="str">
        <x:v>2026-07-31</x:v>
      </x:c>
      <x:c r="E21" s="14" t="str">
        <x:v>Native translation</x:v>
      </x:c>
    </x:row>
    <x:row r="22" ht="27" customHeight="1">
      <x:c r="A22" s="23" t="str">
        <x:v>Speechmatics</x:v>
      </x:c>
      <x:c r="B22" s="14" t="str">
        <x:v>Audio events</x:v>
      </x:c>
      <x:c r="C22" s="41" t="str">
        <x:v>https://docs.speechmatics.com/speech-to-text/features/audio-events</x:v>
      </x:c>
      <x:c r="D22" s="42" t="str">
        <x:v>2026-07-31</x:v>
      </x:c>
      <x:c r="E22" s="14" t="str">
        <x:v>Non-speech tags</x:v>
      </x:c>
    </x:row>
    <x:row r="23" ht="27" customHeight="1">
      <x:c r="A23" s="23" t="str">
        <x:v>AssemblyAI</x:v>
      </x:c>
      <x:c r="B23" s="14" t="str">
        <x:v>Streaming WebSocket API</x:v>
      </x:c>
      <x:c r="C23" s="41" t="str">
        <x:v>https://www.assemblyai.com/docs/streaming/api-spec/streaming-websocket</x:v>
      </x:c>
      <x:c r="D23" s="42" t="str">
        <x:v>2026-07-31</x:v>
      </x:c>
      <x:c r="E23" s="14" t="str">
        <x:v>Transport, audio, configuration</x:v>
      </x:c>
    </x:row>
    <x:row r="24" ht="27" customHeight="1">
      <x:c r="A24" s="23" t="str">
        <x:v>AssemblyAI</x:v>
      </x:c>
      <x:c r="B24" s="14" t="str">
        <x:v>Streaming message sequence</x:v>
      </x:c>
      <x:c r="C24" s="41" t="str">
        <x:v>https://www.assemblyai.com/docs/streaming/message-sequence</x:v>
      </x:c>
      <x:c r="D24" s="42" t="str">
        <x:v>2026-07-31</x:v>
      </x:c>
      <x:c r="E24" s="14" t="str">
        <x:v>Session and result events</x:v>
      </x:c>
    </x:row>
    <x:row r="25" ht="27" customHeight="1">
      <x:c r="A25" s="23" t="str">
        <x:v>AssemblyAI</x:v>
      </x:c>
      <x:c r="B25" s="14" t="str">
        <x:v>Turn detection</x:v>
      </x:c>
      <x:c r="C25" s="41" t="str">
        <x:v>https://www.assemblyai.com/docs/streaming/turn-detection</x:v>
      </x:c>
      <x:c r="D25" s="42" t="str">
        <x:v>2026-07-31</x:v>
      </x:c>
      <x:c r="E25" s="14" t="str">
        <x:v>VAD/semantic controls</x:v>
      </x:c>
    </x:row>
    <x:row r="26" ht="27" customHeight="1">
      <x:c r="A26" s="23" t="str">
        <x:v>AssemblyAI</x:v>
      </x:c>
      <x:c r="B26" s="14" t="str">
        <x:v>Dynamic configuration</x:v>
      </x:c>
      <x:c r="C26" s="41" t="str">
        <x:v>https://www.assemblyai.com/docs/streaming/updating-configuration-mid-stream</x:v>
      </x:c>
      <x:c r="D26" s="42" t="str">
        <x:v>2026-07-31</x:v>
      </x:c>
      <x:c r="E26" s="14" t="str">
        <x:v>Mid-session updates</x:v>
      </x:c>
    </x:row>
    <x:row r="27" ht="27" customHeight="1">
      <x:c r="A27" s="23" t="str">
        <x:v>AssemblyAI</x:v>
      </x:c>
      <x:c r="B27" s="14" t="str">
        <x:v>Speaker/channel labels</x:v>
      </x:c>
      <x:c r="C27" s="41" t="str">
        <x:v>https://www.assemblyai.com/docs/streaming/label-speakers-and-separate-channels</x:v>
      </x:c>
      <x:c r="D27" s="42" t="str">
        <x:v>2026-07-31</x:v>
      </x:c>
      <x:c r="E27" s="14" t="str">
        <x:v>Diarization and channels</x:v>
      </x:c>
    </x:row>
    <x:row r="28" ht="27" customHeight="1">
      <x:c r="A28" s="23" t="str">
        <x:v>AssemblyAI</x:v>
      </x:c>
      <x:c r="B28" s="14" t="str">
        <x:v>Streaming webhooks</x:v>
      </x:c>
      <x:c r="C28" s="41" t="str">
        <x:v>https://www.assemblyai.com/docs/streaming/webhooks</x:v>
      </x:c>
      <x:c r="D28" s="42" t="str">
        <x:v>2026-07-31</x:v>
      </x:c>
      <x:c r="E28" s="14" t="str">
        <x:v>Callbacks</x:v>
      </x:c>
    </x:row>
    <x:row r="29" ht="27" customHeight="1">
      <x:c r="A29" s="23" t="str">
        <x:v>AssemblyAI</x:v>
      </x:c>
      <x:c r="B29" s="14" t="str">
        <x:v>Self-hosted streaming</x:v>
      </x:c>
      <x:c r="C29" s="41" t="str">
        <x:v>https://www.assemblyai.com/docs/streaming/self-hosted-streaming</x:v>
      </x:c>
      <x:c r="D29" s="42" t="str">
        <x:v>2026-07-31</x:v>
      </x:c>
      <x:c r="E29" s="14" t="str">
        <x:v>Deployment</x:v>
      </x:c>
    </x:row>
    <x:row r="30" ht="27" customHeight="1">
      <x:c r="A30" s="23" t="str">
        <x:v>ElevenLabs</x:v>
      </x:c>
      <x:c r="B30" s="14" t="str">
        <x:v>Realtime Scribe API</x:v>
      </x:c>
      <x:c r="C30" s="41" t="str">
        <x:v>https://elevenlabs.io/docs/api-reference/speech-to-text/v-1-speech-to-text-realtime</x:v>
      </x:c>
      <x:c r="D30" s="42" t="str">
        <x:v>2026-07-31</x:v>
      </x:c>
      <x:c r="E30" s="14" t="str">
        <x:v>Realtime surface and controls</x:v>
      </x:c>
    </x:row>
    <x:row r="31" ht="27" customHeight="1">
      <x:c r="A31" s="23" t="str">
        <x:v>ElevenLabs</x:v>
      </x:c>
      <x:c r="B31" s="14" t="str">
        <x:v>Commit strategies</x:v>
      </x:c>
      <x:c r="C31" s="41" t="str">
        <x:v>https://elevenlabs.io/docs/eleven-api/guides/how-to/speech-to-text/realtime/transcripts-and-commit-strategies</x:v>
      </x:c>
      <x:c r="D31" s="42" t="str">
        <x:v>2026-07-31</x:v>
      </x:c>
      <x:c r="E31" s="14" t="str">
        <x:v>Manual/VAD commits</x:v>
      </x:c>
    </x:row>
    <x:row r="32" ht="27" customHeight="1">
      <x:c r="A32" s="23" t="str">
        <x:v>ElevenLabs</x:v>
      </x:c>
      <x:c r="B32" s="14" t="str">
        <x:v>Realtime event reference</x:v>
      </x:c>
      <x:c r="C32" s="41" t="str">
        <x:v>https://elevenlabs.io/docs/eleven-api/guides/how-to/speech-to-text/realtime/event-reference</x:v>
      </x:c>
      <x:c r="D32" s="42" t="str">
        <x:v>2026-07-31</x:v>
      </x:c>
      <x:c r="E32" s="14" t="str">
        <x:v>Partial/final/committed events</x:v>
      </x:c>
    </x:row>
    <x:row r="33" ht="27" customHeight="1">
      <x:c r="A33" s="23" t="str">
        <x:v>ElevenLabs</x:v>
      </x:c>
      <x:c r="B33" s="14" t="str">
        <x:v>Batch conversion</x:v>
      </x:c>
      <x:c r="C33" s="41" t="str">
        <x:v>https://elevenlabs.io/docs/api-reference/speech-to-text/convert</x:v>
      </x:c>
      <x:c r="D33" s="42" t="str">
        <x:v>2026-07-31</x:v>
      </x:c>
      <x:c r="E33" s="14" t="str">
        <x:v>Batch formats and audio intelligence</x:v>
      </x:c>
    </x:row>
    <x:row r="34" ht="27" customHeight="1">
      <x:c r="A34" s="23" t="str">
        <x:v>ElevenLabs</x:v>
      </x:c>
      <x:c r="B34" s="14" t="str">
        <x:v>Data residency</x:v>
      </x:c>
      <x:c r="C34" s="41" t="str">
        <x:v>https://elevenlabs.io/docs/overview/administration/data-residency</x:v>
      </x:c>
      <x:c r="D34" s="42" t="str">
        <x:v>2026-07-31</x:v>
      </x:c>
      <x:c r="E34" s="14" t="str">
        <x:v>Regional governance</x:v>
      </x:c>
    </x:row>
    <x:row r="35" ht="27" customHeight="1">
      <x:c r="A35" s="23" t="str">
        <x:v>ElevenLabs</x:v>
      </x:c>
      <x:c r="B35" s="14" t="str">
        <x:v>Private deployment</x:v>
      </x:c>
      <x:c r="C35" s="41" t="str">
        <x:v>https://elevenlabs.io/docs/eleven-api/private-deployment/overview</x:v>
      </x:c>
      <x:c r="D35" s="42" t="str">
        <x:v>2026-07-31</x:v>
      </x:c>
      <x:c r="E35" s="14" t="str">
        <x:v>Self-host/private options</x:v>
      </x:c>
    </x:row>
    <x:row r="36" ht="27" customHeight="1">
      <x:c r="A36" s="23" t="str">
        <x:v>Soniox</x:v>
      </x:c>
      <x:c r="B36" s="14" t="str">
        <x:v>WebSocket API</x:v>
      </x:c>
      <x:c r="C36" s="41" t="str">
        <x:v>https://soniox.com/docs/api-reference/stt/websocket-api</x:v>
      </x:c>
      <x:c r="D36" s="42" t="str">
        <x:v>2026-07-31</x:v>
      </x:c>
      <x:c r="E36" s="14" t="str">
        <x:v>Transport, configuration, token schema</x:v>
      </x:c>
    </x:row>
    <x:row r="37" ht="27" customHeight="1">
      <x:c r="A37" s="23" t="str">
        <x:v>Soniox</x:v>
      </x:c>
      <x:c r="B37" s="14" t="str">
        <x:v>Realtime transcription</x:v>
      </x:c>
      <x:c r="C37" s="41" t="str">
        <x:v>https://soniox.com/docs/stt/rt/real-time-transcription</x:v>
      </x:c>
      <x:c r="D37" s="42" t="str">
        <x:v>2026-07-31</x:v>
      </x:c>
      <x:c r="E37" s="14" t="str">
        <x:v>Realtime workflow</x:v>
      </x:c>
    </x:row>
    <x:row r="38" ht="27" customHeight="1">
      <x:c r="A38" s="23" t="str">
        <x:v>Soniox</x:v>
      </x:c>
      <x:c r="B38" s="14" t="str">
        <x:v>Endpoint detection</x:v>
      </x:c>
      <x:c r="C38" s="41" t="str">
        <x:v>https://soniox.com/docs/stt/rt/endpoint-detection</x:v>
      </x:c>
      <x:c r="D38" s="42" t="str">
        <x:v>2026-07-31</x:v>
      </x:c>
      <x:c r="E38" s="14" t="str">
        <x:v>Semantic endpointing</x:v>
      </x:c>
    </x:row>
    <x:row r="39" ht="27" customHeight="1">
      <x:c r="A39" s="23" t="str">
        <x:v>Soniox</x:v>
      </x:c>
      <x:c r="B39" s="14" t="str">
        <x:v>Manual finalization</x:v>
      </x:c>
      <x:c r="C39" s="41" t="str">
        <x:v>https://soniox.com/docs/stt/rt/manual-finalization</x:v>
      </x:c>
      <x:c r="D39" s="42" t="str">
        <x:v>2026-07-31</x:v>
      </x:c>
      <x:c r="E39" s="14" t="str">
        <x:v>Finalize and continue</x:v>
      </x:c>
    </x:row>
    <x:row r="40" ht="27" customHeight="1">
      <x:c r="A40" s="23" t="str">
        <x:v>Soniox</x:v>
      </x:c>
      <x:c r="B40" s="14" t="str">
        <x:v>Keepalive</x:v>
      </x:c>
      <x:c r="C40" s="41" t="str">
        <x:v>https://soniox.com/docs/stt/rt/connection-keepalive</x:v>
      </x:c>
      <x:c r="D40" s="42" t="str">
        <x:v>2026-07-31</x:v>
      </x:c>
      <x:c r="E40" s="14" t="str">
        <x:v>Connection lifecycle</x:v>
      </x:c>
    </x:row>
    <x:row r="41" ht="27" customHeight="1">
      <x:c r="A41" s="23" t="str">
        <x:v>Soniox</x:v>
      </x:c>
      <x:c r="B41" s="14" t="str">
        <x:v>Context</x:v>
      </x:c>
      <x:c r="C41" s="41" t="str">
        <x:v>https://soniox.com/docs/stt/concepts/context</x:v>
      </x:c>
      <x:c r="D41" s="42" t="str">
        <x:v>2026-07-31</x:v>
      </x:c>
      <x:c r="E41" s="14" t="str">
        <x:v>Hints and terms</x:v>
      </x:c>
    </x:row>
    <x:row r="42" ht="27" customHeight="1">
      <x:c r="A42" s="23" t="str">
        <x:v>Soniox</x:v>
      </x:c>
      <x:c r="B42" s="14" t="str">
        <x:v>Language identification</x:v>
      </x:c>
      <x:c r="C42" s="41" t="str">
        <x:v>https://soniox.com/docs/stt/concepts/language-identification</x:v>
      </x:c>
      <x:c r="D42" s="42" t="str">
        <x:v>2026-07-31</x:v>
      </x:c>
      <x:c r="E42" s="14" t="str">
        <x:v>Multilingual/code switching</x:v>
      </x:c>
    </x:row>
    <x:row r="43" ht="27" customHeight="1">
      <x:c r="A43" s="23" t="str">
        <x:v>Soniox</x:v>
      </x:c>
      <x:c r="B43" s="14" t="str">
        <x:v>Speaker diarization</x:v>
      </x:c>
      <x:c r="C43" s="41" t="str">
        <x:v>https://soniox.com/docs/stt/concepts/speaker-diarization</x:v>
      </x:c>
      <x:c r="D43" s="42" t="str">
        <x:v>2026-07-31</x:v>
      </x:c>
      <x:c r="E43" s="14" t="str">
        <x:v>Speaker labels</x:v>
      </x:c>
    </x:row>
    <x:row r="44" ht="27" customHeight="1">
      <x:c r="A44" s="23" t="str">
        <x:v>Gladia</x:v>
      </x:c>
      <x:c r="B44" s="14" t="str">
        <x:v>Live initialization</x:v>
      </x:c>
      <x:c r="C44" s="41" t="str">
        <x:v>https://docs.gladia.io/api-reference/v2/live/init</x:v>
      </x:c>
      <x:c r="D44" s="42" t="str">
        <x:v>2026-07-31</x:v>
      </x:c>
      <x:c r="E44" s="14" t="str">
        <x:v>Signed-session setup</x:v>
      </x:c>
    </x:row>
    <x:row r="45" ht="27" customHeight="1">
      <x:c r="A45" s="23" t="str">
        <x:v>Gladia</x:v>
      </x:c>
      <x:c r="B45" s="14" t="str">
        <x:v>Live WebSocket</x:v>
      </x:c>
      <x:c r="C45" s="41" t="str">
        <x:v>https://docs.gladia.io/api-reference/v2/live/websocket</x:v>
      </x:c>
      <x:c r="D45" s="42" t="str">
        <x:v>2026-07-31</x:v>
      </x:c>
      <x:c r="E45" s="14" t="str">
        <x:v>Events and audio transport</x:v>
      </x:c>
    </x:row>
    <x:row r="46" ht="27" customHeight="1">
      <x:c r="A46" s="23" t="str">
        <x:v>Gladia</x:v>
      </x:c>
      <x:c r="B46" s="14" t="str">
        <x:v>Live AsyncAPI</x:v>
      </x:c>
      <x:c r="C46" s="41" t="str">
        <x:v>https://docs.gladia.io/asyncapi.yaml</x:v>
      </x:c>
      <x:c r="D46" s="42" t="str">
        <x:v>2026-07-31</x:v>
      </x:c>
      <x:c r="E46" s="14" t="str">
        <x:v>Machine-readable message schema</x:v>
      </x:c>
    </x:row>
    <x:row r="47" ht="27" customHeight="1">
      <x:c r="A47" s="23" t="str">
        <x:v>Gladia</x:v>
      </x:c>
      <x:c r="B47" s="14" t="str">
        <x:v>Endpointing</x:v>
      </x:c>
      <x:c r="C47" s="41" t="str">
        <x:v>https://docs.gladia.io/chapters/live-stt/features/endpointing</x:v>
      </x:c>
      <x:c r="D47" s="42" t="str">
        <x:v>2026-07-31</x:v>
      </x:c>
      <x:c r="E47" s="14" t="str">
        <x:v>VAD controls</x:v>
      </x:c>
    </x:row>
    <x:row r="48" ht="27" customHeight="1">
      <x:c r="A48" s="23" t="str">
        <x:v>Gladia</x:v>
      </x:c>
      <x:c r="B48" s="14" t="str">
        <x:v>Partial transcripts</x:v>
      </x:c>
      <x:c r="C48" s="41" t="str">
        <x:v>https://docs.gladia.io/chapters/live-stt/features/partial-transcripts</x:v>
      </x:c>
      <x:c r="D48" s="42" t="str">
        <x:v>2026-07-31</x:v>
      </x:c>
      <x:c r="E48" s="14" t="str">
        <x:v>Interim/final semantics</x:v>
      </x:c>
    </x:row>
    <x:row r="49" ht="27" customHeight="1">
      <x:c r="A49" s="23" t="str">
        <x:v>Gladia</x:v>
      </x:c>
      <x:c r="B49" s="14" t="str">
        <x:v>Live audio intelligence</x:v>
      </x:c>
      <x:c r="C49" s="41" t="str">
        <x:v>https://docs.gladia.io/chapters/live-stt/audio-intelligence</x:v>
      </x:c>
      <x:c r="D49" s="42" t="str">
        <x:v>2026-07-31</x:v>
      </x:c>
      <x:c r="E49" s="14" t="str">
        <x:v>NER/translation limitations</x:v>
      </x:c>
    </x:row>
    <x:row r="50" ht="27" customHeight="1">
      <x:c r="A50" s="23" t="str">
        <x:v>OpenAI</x:v>
      </x:c>
      <x:c r="B50" s="14" t="str">
        <x:v>Realtime transcription</x:v>
      </x:c>
      <x:c r="C50" s="41" t="str">
        <x:v>https://developers.openai.com/api/docs/guides/realtime-transcription</x:v>
      </x:c>
      <x:c r="D50" s="42" t="str">
        <x:v>2026-07-31</x:v>
      </x:c>
      <x:c r="E50" s="14" t="str">
        <x:v>Session, audio, transcript events</x:v>
      </x:c>
    </x:row>
    <x:row r="51" ht="27" customHeight="1">
      <x:c r="A51" s="23" t="str">
        <x:v>OpenAI</x:v>
      </x:c>
      <x:c r="B51" s="14" t="str">
        <x:v>Realtime VAD</x:v>
      </x:c>
      <x:c r="C51" s="41" t="str">
        <x:v>https://developers.openai.com/api/docs/guides/realtime-vad</x:v>
      </x:c>
      <x:c r="D51" s="42" t="str">
        <x:v>2026-07-31</x:v>
      </x:c>
      <x:c r="E51" s="14" t="str">
        <x:v>Server and semantic VAD</x:v>
      </x:c>
    </x:row>
    <x:row r="52" ht="27" customHeight="1">
      <x:c r="A52" s="23" t="str">
        <x:v>OpenAI</x:v>
      </x:c>
      <x:c r="B52" s="14" t="str">
        <x:v>Realtime WebSocket</x:v>
      </x:c>
      <x:c r="C52" s="41" t="str">
        <x:v>https://developers.openai.com/api/docs/guides/realtime-websocket</x:v>
      </x:c>
      <x:c r="D52" s="42" t="str">
        <x:v>2026-07-31</x:v>
      </x:c>
      <x:c r="E52" s="14" t="str">
        <x:v>WebSocket binding</x:v>
      </x:c>
    </x:row>
    <x:row r="53" ht="27" customHeight="1">
      <x:c r="A53" s="23" t="str">
        <x:v>OpenAI</x:v>
      </x:c>
      <x:c r="B53" s="14" t="str">
        <x:v>Realtime WebRTC</x:v>
      </x:c>
      <x:c r="C53" s="41" t="str">
        <x:v>https://developers.openai.com/api/docs/guides/realtime-webrtc</x:v>
      </x:c>
      <x:c r="D53" s="42" t="str">
        <x:v>2026-07-31</x:v>
      </x:c>
      <x:c r="E53" s="14" t="str">
        <x:v>WebRTC media/control binding</x:v>
      </x:c>
    </x:row>
    <x:row r="54" ht="27" customHeight="1">
      <x:c r="A54" s="23" t="str">
        <x:v>OpenAI</x:v>
      </x:c>
      <x:c r="B54" s="14" t="str">
        <x:v>Realtime SIP</x:v>
      </x:c>
      <x:c r="C54" s="41" t="str">
        <x:v>https://developers.openai.com/api/docs/guides/realtime-sip</x:v>
      </x:c>
      <x:c r="D54" s="42" t="str">
        <x:v>2026-07-31</x:v>
      </x:c>
      <x:c r="E54" s="14" t="str">
        <x:v>SIP ingress</x:v>
      </x:c>
    </x:row>
    <x:row r="55" ht="27" customHeight="1">
      <x:c r="A55" s="23" t="str">
        <x:v>OpenAI</x:v>
      </x:c>
      <x:c r="B55" s="14" t="str">
        <x:v>File speech-to-text</x:v>
      </x:c>
      <x:c r="C55" s="41" t="str">
        <x:v>https://developers.openai.com/api/docs/guides/speech-to-text</x:v>
      </x:c>
      <x:c r="D55" s="42" t="str">
        <x:v>2026-07-31</x:v>
      </x:c>
      <x:c r="E55" s="14" t="str">
        <x:v>Batch/file transcription</x:v>
      </x:c>
    </x:row>
    <x:row r="56" ht="27" customHeight="1">
      <x:c r="A56" s="23" t="str">
        <x:v>Cartesia</x:v>
      </x:c>
      <x:c r="B56" s="14" t="str">
        <x:v>Batch transcription</x:v>
      </x:c>
      <x:c r="C56" s="41" t="str">
        <x:v>https://docs.cartesia.ai/api-reference/stt/transcribe</x:v>
      </x:c>
      <x:c r="D56" s="42" t="str">
        <x:v>2026-07-31</x:v>
      </x:c>
      <x:c r="E56" s="14" t="str">
        <x:v>Batch API</x:v>
      </x:c>
    </x:row>
    <x:row r="57" ht="27" customHeight="1">
      <x:c r="A57" s="23" t="str">
        <x:v>Cartesia</x:v>
      </x:c>
      <x:c r="B57" s="14" t="str">
        <x:v>Automatic-turn WebSocket</x:v>
      </x:c>
      <x:c r="C57" s="41" t="str">
        <x:v>https://docs.cartesia.ai/api-reference/stt/turns/websocket</x:v>
      </x:c>
      <x:c r="D57" s="42" t="str">
        <x:v>2026-07-31</x:v>
      </x:c>
      <x:c r="E57" s="14" t="str">
        <x:v>Turn-native protocol</x:v>
      </x:c>
    </x:row>
    <x:row r="58" ht="27" customHeight="1">
      <x:c r="A58" s="23" t="str">
        <x:v>Cartesia</x:v>
      </x:c>
      <x:c r="B58" s="14" t="str">
        <x:v>Manual WebSocket</x:v>
      </x:c>
      <x:c r="C58" s="41" t="str">
        <x:v>https://docs.cartesia.ai/api-reference/stt/websocket</x:v>
      </x:c>
      <x:c r="D58" s="42" t="str">
        <x:v>2026-07-31</x:v>
      </x:c>
      <x:c r="E58" s="14" t="str">
        <x:v>Manual finalize protocol</x:v>
      </x:c>
    </x:row>
    <x:row r="59" ht="27" customHeight="1">
      <x:c r="A59" s="23" t="str">
        <x:v>Cartesia</x:v>
      </x:c>
      <x:c r="B59" s="14" t="str">
        <x:v>Endpoint comparison</x:v>
      </x:c>
      <x:c r="C59" s="41" t="str">
        <x:v>https://docs.cartesia.ai/use-the-api/stt/compare-endpoints</x:v>
      </x:c>
      <x:c r="D59" s="42" t="str">
        <x:v>2026-07-31</x:v>
      </x:c>
      <x:c r="E59" s="14" t="str">
        <x:v>Manual vs automatic turns</x:v>
      </x:c>
    </x:row>
    <x:row r="60" ht="27" customHeight="1">
      <x:c r="A60" s="23" t="str">
        <x:v>Cartesia</x:v>
      </x:c>
      <x:c r="B60" s="14" t="str">
        <x:v>Semantic turns</x:v>
      </x:c>
      <x:c r="C60" s="41" t="str">
        <x:v>https://docs.cartesia.ai/use-the-api/stt/turns</x:v>
      </x:c>
      <x:c r="D60" s="42" t="str">
        <x:v>2026-07-31</x:v>
      </x:c>
      <x:c r="E60" s="14" t="str">
        <x:v>Native turn detection</x:v>
      </x:c>
    </x:row>
    <x:row r="61" ht="27" customHeight="1">
      <x:c r="A61" s="23" t="str">
        <x:v>Cartesia</x:v>
      </x:c>
      <x:c r="B61" s="14" t="str">
        <x:v>Audio input</x:v>
      </x:c>
      <x:c r="C61" s="41" t="str">
        <x:v>https://docs.cartesia.ai/build-with-cartesia/stt/audio-input</x:v>
      </x:c>
      <x:c r="D61" s="42" t="str">
        <x:v>2026-07-31</x:v>
      </x:c>
      <x:c r="E61" s="14" t="str">
        <x:v>Codecs and sample rates</x:v>
      </x:c>
    </x:row>
    <x:row r="62" ht="27" customHeight="1">
      <x:c r="A62" s="23" t="str">
        <x:v>Cartesia</x:v>
      </x:c>
      <x:c r="B62" s="14" t="str">
        <x:v>Keyterms</x:v>
      </x:c>
      <x:c r="C62" s="41" t="str">
        <x:v>https://docs.cartesia.ai/use-the-api/stt/keyterms</x:v>
      </x:c>
      <x:c r="D62" s="42" t="str">
        <x:v>2026-07-31</x:v>
      </x:c>
      <x:c r="E62" s="14" t="str">
        <x:v>Phrase biasing limits</x:v>
      </x:c>
    </x:row>
    <x:row r="63" ht="27" customHeight="1">
      <x:c r="A63" s="23" t="str">
        <x:v>Cartesia</x:v>
      </x:c>
      <x:c r="B63" s="14" t="str">
        <x:v>Self-hosting</x:v>
      </x:c>
      <x:c r="C63" s="41" t="str">
        <x:v>https://docs.cartesia.ai/self-hosted/introduction</x:v>
      </x:c>
      <x:c r="D63" s="42" t="str">
        <x:v>2026-07-31</x:v>
      </x:c>
      <x:c r="E63" s="14" t="str">
        <x:v>Private deployment</x:v>
      </x:c>
    </x:row>
    <x:row r="64" ht="27" customHeight="1">
      <x:c r="A64" s="23" t="str">
        <x:v>Google Cloud</x:v>
      </x:c>
      <x:c r="B64" s="14" t="str">
        <x:v>Streaming recognition</x:v>
      </x:c>
      <x:c r="C64" s="41" t="str">
        <x:v>https://docs.cloud.google.com/speech-to-text/docs/streaming-recognize</x:v>
      </x:c>
      <x:c r="D64" s="42" t="str">
        <x:v>2026-07-31</x:v>
      </x:c>
      <x:c r="E64" s="14" t="str">
        <x:v>gRPC streaming</x:v>
      </x:c>
    </x:row>
    <x:row r="65" ht="27" customHeight="1">
      <x:c r="A65" s="23" t="str">
        <x:v>Google Cloud</x:v>
      </x:c>
      <x:c r="B65" s="14" t="str">
        <x:v>V2 RPC reference</x:v>
      </x:c>
      <x:c r="C65" s="41" t="str">
        <x:v>https://docs.cloud.google.com/speech-to-text/docs/reference/rpc/google.cloud.speech.v2</x:v>
      </x:c>
      <x:c r="D65" s="42" t="str">
        <x:v>2026-07-31</x:v>
      </x:c>
      <x:c r="E65" s="14" t="str">
        <x:v>Typed API surface</x:v>
      </x:c>
    </x:row>
    <x:row r="66" ht="27" customHeight="1">
      <x:c r="A66" s="23" t="str">
        <x:v>Google Cloud</x:v>
      </x:c>
      <x:c r="B66" s="14" t="str">
        <x:v>Voice activity events</x:v>
      </x:c>
      <x:c r="C66" s="41" t="str">
        <x:v>https://docs.cloud.google.com/speech-to-text/docs/voice-activity-events</x:v>
      </x:c>
      <x:c r="D66" s="42" t="str">
        <x:v>2026-07-31</x:v>
      </x:c>
      <x:c r="E66" s="14" t="str">
        <x:v>Speech events/timeouts</x:v>
      </x:c>
    </x:row>
    <x:row r="67" ht="27" customHeight="1">
      <x:c r="A67" s="23" t="str">
        <x:v>Google Cloud</x:v>
      </x:c>
      <x:c r="B67" s="14" t="str">
        <x:v>Audio encodings</x:v>
      </x:c>
      <x:c r="C67" s="41" t="str">
        <x:v>https://docs.cloud.google.com/speech-to-text/docs/encoding</x:v>
      </x:c>
      <x:c r="D67" s="42" t="str">
        <x:v>2026-07-31</x:v>
      </x:c>
      <x:c r="E67" s="14" t="str">
        <x:v>Codec support</x:v>
      </x:c>
    </x:row>
    <x:row r="68" ht="27" customHeight="1">
      <x:c r="A68" s="23" t="str">
        <x:v>Google Cloud</x:v>
      </x:c>
      <x:c r="B68" s="14" t="str">
        <x:v>Chirp 3</x:v>
      </x:c>
      <x:c r="C68" s="41" t="str">
        <x:v>https://docs.cloud.google.com/speech-to-text/docs/models/chirp-3</x:v>
      </x:c>
      <x:c r="D68" s="42" t="str">
        <x:v>2026-07-31</x:v>
      </x:c>
      <x:c r="E68" s="14" t="str">
        <x:v>Model feature limits</x:v>
      </x:c>
    </x:row>
    <x:row r="69" ht="27" customHeight="1">
      <x:c r="A69" s="23" t="str">
        <x:v>Google Cloud</x:v>
      </x:c>
      <x:c r="B69" s="14" t="str">
        <x:v>Locations</x:v>
      </x:c>
      <x:c r="C69" s="41" t="str">
        <x:v>https://docs.cloud.google.com/speech-to-text/docs/locations</x:v>
      </x:c>
      <x:c r="D69" s="42" t="str">
        <x:v>2026-07-31</x:v>
      </x:c>
      <x:c r="E69" s="14" t="str">
        <x:v>Regional endpoints</x:v>
      </x:c>
    </x:row>
    <x:row r="70" ht="27" customHeight="1">
      <x:c r="A70" s="23" t="str">
        <x:v>Google Cloud</x:v>
      </x:c>
      <x:c r="B70" s="14" t="str">
        <x:v>Custom speech models</x:v>
      </x:c>
      <x:c r="C70" s="41" t="str">
        <x:v>https://cloud.google.com/speech-to-text/docs/custom-speech-models/train-model</x:v>
      </x:c>
      <x:c r="D70" s="42" t="str">
        <x:v>2026-07-31</x:v>
      </x:c>
      <x:c r="E70" s="14" t="str">
        <x:v>Preview customer-trained model lifecycle</x:v>
      </x:c>
    </x:row>
    <x:row r="71" ht="27" customHeight="1">
      <x:c r="A71" s="23" t="str">
        <x:v>Azure Speech</x:v>
      </x:c>
      <x:c r="B71" s="14" t="str">
        <x:v>Realtime recognition</x:v>
      </x:c>
      <x:c r="C71" s="41" t="str">
        <x:v>https://learn.microsoft.com/en-us/azure/ai-services/speech-service/how-to-recognize-speech</x:v>
      </x:c>
      <x:c r="D71" s="42" t="str">
        <x:v>2026-07-31</x:v>
      </x:c>
      <x:c r="E71" s="14" t="str">
        <x:v>Speech SDK realtime surface</x:v>
      </x:c>
    </x:row>
    <x:row r="72" ht="27" customHeight="1">
      <x:c r="A72" s="23" t="str">
        <x:v>Azure Speech</x:v>
      </x:c>
      <x:c r="B72" s="14" t="str">
        <x:v>REST speech-to-text</x:v>
      </x:c>
      <x:c r="C72" s="41" t="str">
        <x:v>https://learn.microsoft.com/en-us/azure/ai-services/speech-service/rest-speech-to-text</x:v>
      </x:c>
      <x:c r="D72" s="42" t="str">
        <x:v>2026-07-31</x:v>
      </x:c>
      <x:c r="E72" s="14" t="str">
        <x:v>Fast and batch REST</x:v>
      </x:c>
    </x:row>
    <x:row r="73" ht="27" customHeight="1">
      <x:c r="A73" s="23" t="str">
        <x:v>Azure Speech</x:v>
      </x:c>
      <x:c r="B73" s="14" t="str">
        <x:v>Recognition results</x:v>
      </x:c>
      <x:c r="C73" s="41" t="str">
        <x:v>https://learn.microsoft.com/en-us/azure/ai-services/speech-service/get-speech-recognition-results</x:v>
      </x:c>
      <x:c r="D73" s="42" t="str">
        <x:v>2026-07-31</x:v>
      </x:c>
      <x:c r="E73" s="14" t="str">
        <x:v>Timestamps, confidence, N-best</x:v>
      </x:c>
    </x:row>
    <x:row r="74" ht="27" customHeight="1">
      <x:c r="A74" s="23" t="str">
        <x:v>Azure Speech</x:v>
      </x:c>
      <x:c r="B74" s="14" t="str">
        <x:v>Phrase lists</x:v>
      </x:c>
      <x:c r="C74" s="41" t="str">
        <x:v>https://learn.microsoft.com/en-us/azure/ai-services/speech-service/improve-accuracy-phrase-list</x:v>
      </x:c>
      <x:c r="D74" s="42" t="str">
        <x:v>2026-07-31</x:v>
      </x:c>
      <x:c r="E74" s="14" t="str">
        <x:v>Runtime vocabulary</x:v>
      </x:c>
    </x:row>
    <x:row r="75" ht="27" customHeight="1">
      <x:c r="A75" s="23" t="str">
        <x:v>Azure Speech</x:v>
      </x:c>
      <x:c r="B75" s="14" t="str">
        <x:v>Compressed audio</x:v>
      </x:c>
      <x:c r="C75" s="41" t="str">
        <x:v>https://learn.microsoft.com/en-us/azure/ai-services/speech-service/how-to-use-codec-compressed-audio-input-streams</x:v>
      </x:c>
      <x:c r="D75" s="42" t="str">
        <x:v>2026-07-31</x:v>
      </x:c>
      <x:c r="E75" s="14" t="str">
        <x:v>Codec input</x:v>
      </x:c>
    </x:row>
    <x:row r="76" ht="27" customHeight="1">
      <x:c r="A76" s="23" t="str">
        <x:v>Azure Speech</x:v>
      </x:c>
      <x:c r="B76" s="14" t="str">
        <x:v>Speech translation</x:v>
      </x:c>
      <x:c r="C76" s="41" t="str">
        <x:v>https://learn.microsoft.com/en-us/azure/ai-services/speech-service/get-started-speech-translation</x:v>
      </x:c>
      <x:c r="D76" s="42" t="str">
        <x:v>2026-07-31</x:v>
      </x:c>
      <x:c r="E76" s="14" t="str">
        <x:v>Translation extension</x:v>
      </x:c>
    </x:row>
    <x:row r="77" ht="27" customHeight="1">
      <x:c r="A77" s="23" t="str">
        <x:v>Azure Speech</x:v>
      </x:c>
      <x:c r="B77" s="14" t="str">
        <x:v>STT containers</x:v>
      </x:c>
      <x:c r="C77" s="41" t="str">
        <x:v>https://learn.microsoft.com/en-us/azure/ai-services/speech-service/speech-container-stt</x:v>
      </x:c>
      <x:c r="D77" s="42" t="str">
        <x:v>2026-07-31</x:v>
      </x:c>
      <x:c r="E77" s="14" t="str">
        <x:v>Self-host/container</x:v>
      </x:c>
    </x:row>
    <x:row r="78" ht="27" customHeight="1">
      <x:c r="A78" s="23" t="str">
        <x:v>Azure Speech</x:v>
      </x:c>
      <x:c r="B78" s="14" t="str">
        <x:v>Regions</x:v>
      </x:c>
      <x:c r="C78" s="41" t="str">
        <x:v>https://learn.microsoft.com/en-us/azure/ai-services/speech-service/regions</x:v>
      </x:c>
      <x:c r="D78" s="42" t="str">
        <x:v>2026-07-31</x:v>
      </x:c>
      <x:c r="E78" s="14" t="str">
        <x:v>Regional deployment</x:v>
      </x:c>
    </x:row>
    <x:row r="79" ht="27" customHeight="1">
      <x:c r="A79" s="23" t="str">
        <x:v>Standards</x:v>
      </x:c>
      <x:c r="B79" s="14" t="str">
        <x:v>MRCPv2</x:v>
      </x:c>
      <x:c r="C79" s="41" t="str">
        <x:v>https://datatracker.ietf.org/doc/rfc6787/</x:v>
      </x:c>
      <x:c r="D79" s="42" t="str">
        <x:v>2026-07-31</x:v>
      </x:c>
      <x:c r="E79" s="14" t="str">
        <x:v>Legacy speech-resource control precedent</x:v>
      </x:c>
    </x:row>
    <x:row r="80" ht="27" customHeight="1">
      <x:c r="A80" s="23" t="str">
        <x:v>Standards</x:v>
      </x:c>
      <x:c r="B80" s="14" t="str">
        <x:v>RTP</x:v>
      </x:c>
      <x:c r="C80" s="41" t="str">
        <x:v>https://www.rfc-editor.org/info/rfc3550/</x:v>
      </x:c>
      <x:c r="D80" s="42" t="str">
        <x:v>2026-07-31</x:v>
      </x:c>
      <x:c r="E80" s="14" t="str">
        <x:v>Real-time media framing precedent</x:v>
      </x:c>
    </x:row>
    <x:row r="81" ht="27" customHeight="1">
      <x:c r="A81" s="23" t="str">
        <x:v>Standards</x:v>
      </x:c>
      <x:c r="B81" s="14" t="str">
        <x:v>Opus over RTP</x:v>
      </x:c>
      <x:c r="C81" s="41" t="str">
        <x:v>https://www.rfc-editor.org/info/rfc7587/</x:v>
      </x:c>
      <x:c r="D81" s="42" t="str">
        <x:v>2026-07-31</x:v>
      </x:c>
      <x:c r="E81" s="14" t="str">
        <x:v>Low-latency codec payload mapping</x:v>
      </x:c>
    </x:row>
    <x:row r="82" ht="27" customHeight="1">
      <x:c r="A82" s="23" t="str">
        <x:v>Standards</x:v>
      </x:c>
      <x:c r="B82" s="14" t="str">
        <x:v>QUIC DATAGRAM</x:v>
      </x:c>
      <x:c r="C82" s="41" t="str">
        <x:v>https://www.rfc-editor.org/rfc/rfc9221.html</x:v>
      </x:c>
      <x:c r="D82" s="42" t="str">
        <x:v>2026-07-31</x:v>
      </x:c>
      <x:c r="E82" s="14" t="str">
        <x:v>Unreliable congestion-controlled datagrams without retransmission HOL</x:v>
      </x:c>
    </x:row>
    <x:row r="83" ht="27" customHeight="1">
      <x:c r="A83" s="23" t="str">
        <x:v>Standards</x:v>
      </x:c>
      <x:c r="B83" s="14" t="str">
        <x:v>WebTransport over HTTP/3</x:v>
      </x:c>
      <x:c r="C83" s="41" t="str">
        <x:v>https://datatracker.ietf.org/wg/webtrans/documents/</x:v>
      </x:c>
      <x:c r="D83" s="42" t="str">
        <x:v>2026-07-31</x:v>
      </x:c>
      <x:c r="E83" s="14" t="str">
        <x:v>Browser-facing QUIC transport work</x:v>
      </x:c>
    </x:row>
    <x:row r="84" ht="27" customHeight="1">
      <x:c r="A84" s="23" t="str">
        <x:v>Standards</x:v>
      </x:c>
      <x:c r="B84" s="14" t="str">
        <x:v>RTP over QUIC draft</x:v>
      </x:c>
      <x:c r="C84" s="41" t="str">
        <x:v>https://datatracker.ietf.org/doc/html/draft-ietf-avtcore-rtp-over-quic-12</x:v>
      </x:c>
      <x:c r="D84" s="42" t="str">
        <x:v>2026-07-31</x:v>
      </x:c>
      <x:c r="E84" s="14" t="str">
        <x:v>RTP/QUIC binding work</x:v>
      </x:c>
    </x:row>
    <x:row r="85" ht="27" customHeight="1">
      <x:c r="A85" s="23" t="str">
        <x:v>Standards</x:v>
      </x:c>
      <x:c r="B85" s="14" t="str">
        <x:v>Media over QUIC WG</x:v>
      </x:c>
      <x:c r="C85" s="41" t="str">
        <x:v>https://datatracker.ietf.org/doc/charter-ietf-moq/01/</x:v>
      </x:c>
      <x:c r="D85" s="42" t="str">
        <x:v>2026-07-31</x:v>
      </x:c>
      <x:c r="E85" s="14" t="str">
        <x:v>Related real-time media standardization venue</x:v>
      </x:c>
    </x:row>
  </x:sheetData>
  <x:mergeCells>
    <x:mergeCell ref="A1:E1"/>
    <x:mergeCell ref="A2:E2"/>
  </x:mergeCells>
  <x:pageMargins left="0.7" right="0.7" top="0.75" bottom="0.75" header="0.3" footer="0.3"/>
</x:worksheet>
</file>